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YASHIII\Downloads\"/>
    </mc:Choice>
  </mc:AlternateContent>
  <xr:revisionPtr revIDLastSave="0" documentId="8_{FA9BF3B5-F23D-48E9-96FD-7A4DF972AD67}" xr6:coauthVersionLast="47" xr6:coauthVersionMax="47" xr10:uidLastSave="{00000000-0000-0000-0000-000000000000}"/>
  <bookViews>
    <workbookView xWindow="-110" yWindow="-110" windowWidth="19420" windowHeight="10300" activeTab="3" xr2:uid="{96FE8571-0C53-49D9-8CA6-8789C3815860}"/>
  </bookViews>
  <sheets>
    <sheet name="data" sheetId="1" r:id="rId1"/>
    <sheet name="analysis" sheetId="10" r:id="rId2"/>
    <sheet name="pivot table" sheetId="7" r:id="rId3"/>
    <sheet name="Dashboard" sheetId="9" r:id="rId4"/>
  </sheets>
  <definedNames>
    <definedName name="_xlchart.v5.0" hidden="1">analysis!$Q$4</definedName>
    <definedName name="_xlchart.v5.1" hidden="1">analysis!$Q$5:$Q$21</definedName>
    <definedName name="_xlchart.v5.2" hidden="1">analysis!$R$4</definedName>
    <definedName name="_xlchart.v5.3" hidden="1">analysis!$R$5:$R$21</definedName>
    <definedName name="Slicer_AI_Ethics_Concern">#N/A</definedName>
    <definedName name="Slicer_Major">#N/A</definedName>
    <definedName name="Slicer_Primary_AI_Tool">#N/A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1" i="1" l="1"/>
  <c r="S9" i="1"/>
  <c r="S10" i="1"/>
  <c r="S8"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2" i="1"/>
</calcChain>
</file>

<file path=xl/sharedStrings.xml><?xml version="1.0" encoding="utf-8"?>
<sst xmlns="http://schemas.openxmlformats.org/spreadsheetml/2006/main" count="3088" uniqueCount="564">
  <si>
    <t>Student_ID</t>
  </si>
  <si>
    <t>Age</t>
  </si>
  <si>
    <t>Major</t>
  </si>
  <si>
    <t>Primary_AI_Tool</t>
  </si>
  <si>
    <t>Task_Frequency_Daily</t>
  </si>
  <si>
    <t>Main_Usage_Case</t>
  </si>
  <si>
    <t>GPA_Baseline</t>
  </si>
  <si>
    <t>GPA_Post_AI</t>
  </si>
  <si>
    <t>Time_Saved_Hours_Weekly</t>
  </si>
  <si>
    <t>AI_Ethics_Concern</t>
  </si>
  <si>
    <t>Career_Confidence_Score</t>
  </si>
  <si>
    <t>State</t>
  </si>
  <si>
    <t>STU-6019</t>
  </si>
  <si>
    <t>Software Engineering</t>
  </si>
  <si>
    <t>Gemini Pro</t>
  </si>
  <si>
    <t>Code Debugging</t>
  </si>
  <si>
    <t>Medium</t>
  </si>
  <si>
    <t>Karnataka</t>
  </si>
  <si>
    <t>STU-6962</t>
  </si>
  <si>
    <t>Modern History</t>
  </si>
  <si>
    <t>GitHub Copilot</t>
  </si>
  <si>
    <t>Essay Drafting</t>
  </si>
  <si>
    <t>Haryana</t>
  </si>
  <si>
    <t>STU-2338</t>
  </si>
  <si>
    <t>Data Science</t>
  </si>
  <si>
    <t>Perplexity</t>
  </si>
  <si>
    <t>Literature Review</t>
  </si>
  <si>
    <t>High</t>
  </si>
  <si>
    <t>Rajasthan</t>
  </si>
  <si>
    <t>STU-1380</t>
  </si>
  <si>
    <t>Biology</t>
  </si>
  <si>
    <t>Claude 3.5</t>
  </si>
  <si>
    <t>Low</t>
  </si>
  <si>
    <t>STU-1837</t>
  </si>
  <si>
    <t>ChatGPT-4o</t>
  </si>
  <si>
    <t>Odisha</t>
  </si>
  <si>
    <t>STU-0052</t>
  </si>
  <si>
    <t>Andhra Pradesh</t>
  </si>
  <si>
    <t>STU-4953</t>
  </si>
  <si>
    <t>Business Administration</t>
  </si>
  <si>
    <t>Exam Prep</t>
  </si>
  <si>
    <t>STU-1723</t>
  </si>
  <si>
    <t>Fine Arts</t>
  </si>
  <si>
    <t>Delhi</t>
  </si>
  <si>
    <t>STU-5100</t>
  </si>
  <si>
    <t>Uttar Pradesh</t>
  </si>
  <si>
    <t>STU-7291</t>
  </si>
  <si>
    <t>STU-9918</t>
  </si>
  <si>
    <t>Punjab</t>
  </si>
  <si>
    <t>STU-1753</t>
  </si>
  <si>
    <t>Madhya Pradesh</t>
  </si>
  <si>
    <t>STU-6394</t>
  </si>
  <si>
    <t>Kerala</t>
  </si>
  <si>
    <t>STU-1374</t>
  </si>
  <si>
    <t>STU-1277</t>
  </si>
  <si>
    <t>STU-5643</t>
  </si>
  <si>
    <t>Brainstorming</t>
  </si>
  <si>
    <t>STU-3711</t>
  </si>
  <si>
    <t>STU-9571</t>
  </si>
  <si>
    <t>STU-6603</t>
  </si>
  <si>
    <t>Tamil Nadu</t>
  </si>
  <si>
    <t>STU-4838</t>
  </si>
  <si>
    <t>STU-4860</t>
  </si>
  <si>
    <t>STU-0499</t>
  </si>
  <si>
    <t>Bihar</t>
  </si>
  <si>
    <t>STU-4002</t>
  </si>
  <si>
    <t>Telangana</t>
  </si>
  <si>
    <t>STU-5578</t>
  </si>
  <si>
    <t>STU-9514</t>
  </si>
  <si>
    <t>STU-8919</t>
  </si>
  <si>
    <t>STU-0115</t>
  </si>
  <si>
    <t>STU-5610</t>
  </si>
  <si>
    <t>STU-1960</t>
  </si>
  <si>
    <t>STU-1431</t>
  </si>
  <si>
    <t>Gujarat</t>
  </si>
  <si>
    <t>STU-6178</t>
  </si>
  <si>
    <t>STU-5367</t>
  </si>
  <si>
    <t>STU-2322</t>
  </si>
  <si>
    <t>STU-8378</t>
  </si>
  <si>
    <t>STU-4921</t>
  </si>
  <si>
    <t>STU-1914</t>
  </si>
  <si>
    <t>STU-5032</t>
  </si>
  <si>
    <t>STU-6816</t>
  </si>
  <si>
    <t>STU-3832</t>
  </si>
  <si>
    <t>STU-1539</t>
  </si>
  <si>
    <t>STU-4811</t>
  </si>
  <si>
    <t>STU-1992</t>
  </si>
  <si>
    <t>West Bengal</t>
  </si>
  <si>
    <t>STU-5235</t>
  </si>
  <si>
    <t>STU-7720</t>
  </si>
  <si>
    <t>STU-8242</t>
  </si>
  <si>
    <t>STU-6491</t>
  </si>
  <si>
    <t>STU-9757</t>
  </si>
  <si>
    <t>STU-6891</t>
  </si>
  <si>
    <t>STU-2000</t>
  </si>
  <si>
    <t>STU-1936</t>
  </si>
  <si>
    <t>STU-0497</t>
  </si>
  <si>
    <t>STU-4779</t>
  </si>
  <si>
    <t>STU-5245</t>
  </si>
  <si>
    <t>STU-1346</t>
  </si>
  <si>
    <t>Maharashtra</t>
  </si>
  <si>
    <t>STU-6672</t>
  </si>
  <si>
    <t>STU-0732</t>
  </si>
  <si>
    <t>STU-9888</t>
  </si>
  <si>
    <t>STU-1040</t>
  </si>
  <si>
    <t>STU-1540</t>
  </si>
  <si>
    <t>STU-5873</t>
  </si>
  <si>
    <t>STU-4321</t>
  </si>
  <si>
    <t>STU-9472</t>
  </si>
  <si>
    <t>STU-5793</t>
  </si>
  <si>
    <t>STU-7017</t>
  </si>
  <si>
    <t>STU-3405</t>
  </si>
  <si>
    <t>STU-6036</t>
  </si>
  <si>
    <t>STU-0449</t>
  </si>
  <si>
    <t>STU-8756</t>
  </si>
  <si>
    <t>STU-7976</t>
  </si>
  <si>
    <t>STU-3826</t>
  </si>
  <si>
    <t>STU-2035</t>
  </si>
  <si>
    <t>STU-2123</t>
  </si>
  <si>
    <t>STU-7860</t>
  </si>
  <si>
    <t>STU-0300</t>
  </si>
  <si>
    <t>STU-7958</t>
  </si>
  <si>
    <t>STU-3046</t>
  </si>
  <si>
    <t>STU-6674</t>
  </si>
  <si>
    <t>STU-5728</t>
  </si>
  <si>
    <t>STU-5466</t>
  </si>
  <si>
    <t>STU-5790</t>
  </si>
  <si>
    <t>STU-3538</t>
  </si>
  <si>
    <t>STU-1284</t>
  </si>
  <si>
    <t>STU-9579</t>
  </si>
  <si>
    <t>STU-3437</t>
  </si>
  <si>
    <t>STU-0540</t>
  </si>
  <si>
    <t>STU-1820</t>
  </si>
  <si>
    <t>STU-1640</t>
  </si>
  <si>
    <t>STU-8373</t>
  </si>
  <si>
    <t>STU-9429</t>
  </si>
  <si>
    <t>STU-6001</t>
  </si>
  <si>
    <t>STU-1013</t>
  </si>
  <si>
    <t>STU-6248</t>
  </si>
  <si>
    <t>STU-7084</t>
  </si>
  <si>
    <t>STU-1697</t>
  </si>
  <si>
    <t>STU-0044</t>
  </si>
  <si>
    <t>STU-4260</t>
  </si>
  <si>
    <t>STU-8617</t>
  </si>
  <si>
    <t>STU-4498</t>
  </si>
  <si>
    <t>STU-3474</t>
  </si>
  <si>
    <t>STU-4598</t>
  </si>
  <si>
    <t>STU-9772</t>
  </si>
  <si>
    <t>STU-0639</t>
  </si>
  <si>
    <t>STU-1212</t>
  </si>
  <si>
    <t>STU-4755</t>
  </si>
  <si>
    <t>STU-0394</t>
  </si>
  <si>
    <t>STU-8657</t>
  </si>
  <si>
    <t>STU-4730</t>
  </si>
  <si>
    <t>STU-7342</t>
  </si>
  <si>
    <t>STU-8240</t>
  </si>
  <si>
    <t>STU-2244</t>
  </si>
  <si>
    <t>STU-2773</t>
  </si>
  <si>
    <t>STU-5232</t>
  </si>
  <si>
    <t>STU-7529</t>
  </si>
  <si>
    <t>STU-0323</t>
  </si>
  <si>
    <t>STU-0067</t>
  </si>
  <si>
    <t>STU-7378</t>
  </si>
  <si>
    <t>STU-5842</t>
  </si>
  <si>
    <t>STU-5122</t>
  </si>
  <si>
    <t>STU-0858</t>
  </si>
  <si>
    <t>STU-6480</t>
  </si>
  <si>
    <t>STU-2481</t>
  </si>
  <si>
    <t>STU-3177</t>
  </si>
  <si>
    <t>STU-7542</t>
  </si>
  <si>
    <t>STU-7241</t>
  </si>
  <si>
    <t>STU-3013</t>
  </si>
  <si>
    <t>STU-5231</t>
  </si>
  <si>
    <t>STU-4656</t>
  </si>
  <si>
    <t>STU-1962</t>
  </si>
  <si>
    <t>STU-4054</t>
  </si>
  <si>
    <t>STU-9226</t>
  </si>
  <si>
    <t>STU-6530</t>
  </si>
  <si>
    <t>STU-6518</t>
  </si>
  <si>
    <t>STU-6932</t>
  </si>
  <si>
    <t>STU-8015</t>
  </si>
  <si>
    <t>STU-5360</t>
  </si>
  <si>
    <t>STU-0939</t>
  </si>
  <si>
    <t>STU-4486</t>
  </si>
  <si>
    <t>STU-9676</t>
  </si>
  <si>
    <t>STU-7489</t>
  </si>
  <si>
    <t>STU-0197</t>
  </si>
  <si>
    <t>STU-9474</t>
  </si>
  <si>
    <t>STU-5543</t>
  </si>
  <si>
    <t>STU-2779</t>
  </si>
  <si>
    <t>STU-5537</t>
  </si>
  <si>
    <t>STU-9364</t>
  </si>
  <si>
    <t>STU-2974</t>
  </si>
  <si>
    <t>STU-8851</t>
  </si>
  <si>
    <t>STU-3184</t>
  </si>
  <si>
    <t>STU-0817</t>
  </si>
  <si>
    <t>STU-9692</t>
  </si>
  <si>
    <t>STU-8789</t>
  </si>
  <si>
    <t>STU-5266</t>
  </si>
  <si>
    <t>STU-6823</t>
  </si>
  <si>
    <t>STU-0461</t>
  </si>
  <si>
    <t>STU-9793</t>
  </si>
  <si>
    <t>STU-5652</t>
  </si>
  <si>
    <t>STU-8432</t>
  </si>
  <si>
    <t>STU-5053</t>
  </si>
  <si>
    <t>STU-5342</t>
  </si>
  <si>
    <t>STU-3925</t>
  </si>
  <si>
    <t>STU-6282</t>
  </si>
  <si>
    <t>STU-5921</t>
  </si>
  <si>
    <t>STU-9763</t>
  </si>
  <si>
    <t>STU-4769</t>
  </si>
  <si>
    <t>STU-9609</t>
  </si>
  <si>
    <t>STU-8845</t>
  </si>
  <si>
    <t>STU-1938</t>
  </si>
  <si>
    <t>STU-3321</t>
  </si>
  <si>
    <t>STU-0188</t>
  </si>
  <si>
    <t>STU-3868</t>
  </si>
  <si>
    <t>STU-6365</t>
  </si>
  <si>
    <t>STU-5980</t>
  </si>
  <si>
    <t>STU-2366</t>
  </si>
  <si>
    <t>STU-3512</t>
  </si>
  <si>
    <t>STU-2113</t>
  </si>
  <si>
    <t>STU-6742</t>
  </si>
  <si>
    <t>STU-3372</t>
  </si>
  <si>
    <t>STU-2699</t>
  </si>
  <si>
    <t>STU-1030</t>
  </si>
  <si>
    <t>STU-0310</t>
  </si>
  <si>
    <t>STU-8773</t>
  </si>
  <si>
    <t>STU-7039</t>
  </si>
  <si>
    <t>STU-0536</t>
  </si>
  <si>
    <t>STU-8214</t>
  </si>
  <si>
    <t>STU-8035</t>
  </si>
  <si>
    <t>STU-0347</t>
  </si>
  <si>
    <t>STU-6903</t>
  </si>
  <si>
    <t>STU-3571</t>
  </si>
  <si>
    <t>STU-1675</t>
  </si>
  <si>
    <t>STU-9558</t>
  </si>
  <si>
    <t>STU-7146</t>
  </si>
  <si>
    <t>STU-5721</t>
  </si>
  <si>
    <t>STU-4158</t>
  </si>
  <si>
    <t>STU-8441</t>
  </si>
  <si>
    <t>STU-9127</t>
  </si>
  <si>
    <t>STU-7587</t>
  </si>
  <si>
    <t>STU-3332</t>
  </si>
  <si>
    <t>STU-9454</t>
  </si>
  <si>
    <t>STU-0589</t>
  </si>
  <si>
    <t>STU-8427</t>
  </si>
  <si>
    <t>STU-8187</t>
  </si>
  <si>
    <t>STU-8567</t>
  </si>
  <si>
    <t>STU-4966</t>
  </si>
  <si>
    <t>STU-7730</t>
  </si>
  <si>
    <t>STU-3262</t>
  </si>
  <si>
    <t>STU-2531</t>
  </si>
  <si>
    <t>STU-4537</t>
  </si>
  <si>
    <t>STU-5987</t>
  </si>
  <si>
    <t>STU-1871</t>
  </si>
  <si>
    <t>STU-5071</t>
  </si>
  <si>
    <t>STU-4196</t>
  </si>
  <si>
    <t>STU-8218</t>
  </si>
  <si>
    <t>STU-5691</t>
  </si>
  <si>
    <t>STU-3259</t>
  </si>
  <si>
    <t>STU-1410</t>
  </si>
  <si>
    <t>STU-0085</t>
  </si>
  <si>
    <t>STU-4290</t>
  </si>
  <si>
    <t>STU-6475</t>
  </si>
  <si>
    <t>STU-8451</t>
  </si>
  <si>
    <t>STU-3118</t>
  </si>
  <si>
    <t>STU-8330</t>
  </si>
  <si>
    <t>STU-7507</t>
  </si>
  <si>
    <t>STU-1136</t>
  </si>
  <si>
    <t>STU-5002</t>
  </si>
  <si>
    <t>STU-3328</t>
  </si>
  <si>
    <t>STU-9212</t>
  </si>
  <si>
    <t>STU-3061</t>
  </si>
  <si>
    <t>STU-6425</t>
  </si>
  <si>
    <t>STU-8111</t>
  </si>
  <si>
    <t>STU-2586</t>
  </si>
  <si>
    <t>STU-2579</t>
  </si>
  <si>
    <t>STU-1926</t>
  </si>
  <si>
    <t>STU-8537</t>
  </si>
  <si>
    <t>STU-7121</t>
  </si>
  <si>
    <t>STU-1158</t>
  </si>
  <si>
    <t>STU-7842</t>
  </si>
  <si>
    <t>STU-3822</t>
  </si>
  <si>
    <t>STU-5346</t>
  </si>
  <si>
    <t>STU-9187</t>
  </si>
  <si>
    <t>STU-5623</t>
  </si>
  <si>
    <t>STU-1571</t>
  </si>
  <si>
    <t>STU-8897</t>
  </si>
  <si>
    <t>STU-5760</t>
  </si>
  <si>
    <t>STU-9648</t>
  </si>
  <si>
    <t>STU-1099</t>
  </si>
  <si>
    <t>STU-6040</t>
  </si>
  <si>
    <t>STU-3504</t>
  </si>
  <si>
    <t>STU-5452</t>
  </si>
  <si>
    <t>STU-2968</t>
  </si>
  <si>
    <t>STU-7617</t>
  </si>
  <si>
    <t>STU-3817</t>
  </si>
  <si>
    <t>STU-6924</t>
  </si>
  <si>
    <t>STU-8271</t>
  </si>
  <si>
    <t>STU-4360</t>
  </si>
  <si>
    <t>STU-4382</t>
  </si>
  <si>
    <t>STU-5215</t>
  </si>
  <si>
    <t>STU-9411</t>
  </si>
  <si>
    <t>STU-0493</t>
  </si>
  <si>
    <t>STU-8809</t>
  </si>
  <si>
    <t>STU-2544</t>
  </si>
  <si>
    <t>STU-2618</t>
  </si>
  <si>
    <t>STU-5127</t>
  </si>
  <si>
    <t>STU-9746</t>
  </si>
  <si>
    <t>STU-3107</t>
  </si>
  <si>
    <t>STU-4389</t>
  </si>
  <si>
    <t>STU-6252</t>
  </si>
  <si>
    <t>STU-7947</t>
  </si>
  <si>
    <t>STU-1546</t>
  </si>
  <si>
    <t>STU-1266</t>
  </si>
  <si>
    <t>STU-2655</t>
  </si>
  <si>
    <t>STU-4589</t>
  </si>
  <si>
    <t>STU-7270</t>
  </si>
  <si>
    <t>STU-7134</t>
  </si>
  <si>
    <t>STU-1695</t>
  </si>
  <si>
    <t>STU-1760</t>
  </si>
  <si>
    <t>STU-4168</t>
  </si>
  <si>
    <t>STU-3357</t>
  </si>
  <si>
    <t>STU-1687</t>
  </si>
  <si>
    <t>STU-1949</t>
  </si>
  <si>
    <t>STU-1435</t>
  </si>
  <si>
    <t>STU-6495</t>
  </si>
  <si>
    <t>STU-6032</t>
  </si>
  <si>
    <t>STU-8436</t>
  </si>
  <si>
    <t>STU-0452</t>
  </si>
  <si>
    <t>STU-9507</t>
  </si>
  <si>
    <t>STU-2683</t>
  </si>
  <si>
    <t>STU-4320</t>
  </si>
  <si>
    <t>STU-5299</t>
  </si>
  <si>
    <t>STU-2442</t>
  </si>
  <si>
    <t>STU-9880</t>
  </si>
  <si>
    <t>STU-9478</t>
  </si>
  <si>
    <t>STU-8223</t>
  </si>
  <si>
    <t>STU-3985</t>
  </si>
  <si>
    <t>STU-9159</t>
  </si>
  <si>
    <t>STU-8117</t>
  </si>
  <si>
    <t>STU-1174</t>
  </si>
  <si>
    <t>STU-2119</t>
  </si>
  <si>
    <t>STU-7391</t>
  </si>
  <si>
    <t>STU-8831</t>
  </si>
  <si>
    <t>STU-0369</t>
  </si>
  <si>
    <t>STU-8148</t>
  </si>
  <si>
    <t>STU-2302</t>
  </si>
  <si>
    <t>STU-3737</t>
  </si>
  <si>
    <t>STU-4824</t>
  </si>
  <si>
    <t>STU-8121</t>
  </si>
  <si>
    <t>STU-4137</t>
  </si>
  <si>
    <t>STU-6017</t>
  </si>
  <si>
    <t>STU-7323</t>
  </si>
  <si>
    <t>STU-7652</t>
  </si>
  <si>
    <t>STU-6977</t>
  </si>
  <si>
    <t>STU-2766</t>
  </si>
  <si>
    <t>STU-2230</t>
  </si>
  <si>
    <t>STU-6557</t>
  </si>
  <si>
    <t>STU-7692</t>
  </si>
  <si>
    <t>STU-3839</t>
  </si>
  <si>
    <t>STU-0572</t>
  </si>
  <si>
    <t>STU-3912</t>
  </si>
  <si>
    <t>STU-6725</t>
  </si>
  <si>
    <t>STU-7668</t>
  </si>
  <si>
    <t>STU-9929</t>
  </si>
  <si>
    <t>STU-8146</t>
  </si>
  <si>
    <t>STU-0324</t>
  </si>
  <si>
    <t>STU-5506</t>
  </si>
  <si>
    <t>STU-6004</t>
  </si>
  <si>
    <t>STU-4404</t>
  </si>
  <si>
    <t>STU-2551</t>
  </si>
  <si>
    <t>STU-6813</t>
  </si>
  <si>
    <t>STU-0436</t>
  </si>
  <si>
    <t>STU-0895</t>
  </si>
  <si>
    <t>STU-7838</t>
  </si>
  <si>
    <t>STU-8029</t>
  </si>
  <si>
    <t>STU-2281</t>
  </si>
  <si>
    <t>STU-6951</t>
  </si>
  <si>
    <t>STU-4726</t>
  </si>
  <si>
    <t>STU-3525</t>
  </si>
  <si>
    <t>STU-9742</t>
  </si>
  <si>
    <t>STU-8833</t>
  </si>
  <si>
    <t>STU-9273</t>
  </si>
  <si>
    <t>STU-3445</t>
  </si>
  <si>
    <t>STU-1230</t>
  </si>
  <si>
    <t>STU-5042</t>
  </si>
  <si>
    <t>STU-6232</t>
  </si>
  <si>
    <t>STU-3855</t>
  </si>
  <si>
    <t>STU-9210</t>
  </si>
  <si>
    <t>STU-6761</t>
  </si>
  <si>
    <t>STU-5885</t>
  </si>
  <si>
    <t>STU-6230</t>
  </si>
  <si>
    <t>STU-8968</t>
  </si>
  <si>
    <t>STU-2674</t>
  </si>
  <si>
    <t>STU-1954</t>
  </si>
  <si>
    <t>STU-8338</t>
  </si>
  <si>
    <t>STU-8259</t>
  </si>
  <si>
    <t>STU-8650</t>
  </si>
  <si>
    <t>STU-2518</t>
  </si>
  <si>
    <t>STU-0134</t>
  </si>
  <si>
    <t>STU-6080</t>
  </si>
  <si>
    <t>STU-9587</t>
  </si>
  <si>
    <t>STU-7077</t>
  </si>
  <si>
    <t>STU-4365</t>
  </si>
  <si>
    <t>STU-9623</t>
  </si>
  <si>
    <t>STU-2348</t>
  </si>
  <si>
    <t>STU-1920</t>
  </si>
  <si>
    <t>STU-4012</t>
  </si>
  <si>
    <t>STU-9721</t>
  </si>
  <si>
    <t>STU-8047</t>
  </si>
  <si>
    <t>STU-2524</t>
  </si>
  <si>
    <t>STU-1262</t>
  </si>
  <si>
    <t>STU-4912</t>
  </si>
  <si>
    <t>STU-6287</t>
  </si>
  <si>
    <t>STU-4659</t>
  </si>
  <si>
    <t>STU-1368</t>
  </si>
  <si>
    <t>STU-5476</t>
  </si>
  <si>
    <t>STU-3717</t>
  </si>
  <si>
    <t>STU-9040</t>
  </si>
  <si>
    <t>STU-1542</t>
  </si>
  <si>
    <t>STU-6162</t>
  </si>
  <si>
    <t>STU-1087</t>
  </si>
  <si>
    <t>STU-7875</t>
  </si>
  <si>
    <t>STU-4715</t>
  </si>
  <si>
    <t>STU-9830</t>
  </si>
  <si>
    <t>STU-1896</t>
  </si>
  <si>
    <t>STU-4341</t>
  </si>
  <si>
    <t>STU-7965</t>
  </si>
  <si>
    <t>STU-7468</t>
  </si>
  <si>
    <t>STU-7318</t>
  </si>
  <si>
    <t>STU-4044</t>
  </si>
  <si>
    <t>STU-2772</t>
  </si>
  <si>
    <t>STU-6373</t>
  </si>
  <si>
    <t>STU-5460</t>
  </si>
  <si>
    <t>STU-3684</t>
  </si>
  <si>
    <t>STU-4331</t>
  </si>
  <si>
    <t>STU-6148</t>
  </si>
  <si>
    <t>STU-9197</t>
  </si>
  <si>
    <t>STU-5682</t>
  </si>
  <si>
    <t>STU-1496</t>
  </si>
  <si>
    <t>STU-6383</t>
  </si>
  <si>
    <t>STU-1750</t>
  </si>
  <si>
    <t>STU-5542</t>
  </si>
  <si>
    <t>STU-7336</t>
  </si>
  <si>
    <t>STU-4965</t>
  </si>
  <si>
    <t>STU-5931</t>
  </si>
  <si>
    <t>STU-8009</t>
  </si>
  <si>
    <t>STU-7578</t>
  </si>
  <si>
    <t>STU-7844</t>
  </si>
  <si>
    <t>STU-0196</t>
  </si>
  <si>
    <t>STU-3402</t>
  </si>
  <si>
    <t>STU-9168</t>
  </si>
  <si>
    <t>STU-0087</t>
  </si>
  <si>
    <t>STU-9997</t>
  </si>
  <si>
    <t>STU-3856</t>
  </si>
  <si>
    <t>STU-8649</t>
  </si>
  <si>
    <t>STU-0482</t>
  </si>
  <si>
    <t>STU-1777</t>
  </si>
  <si>
    <t>STU-9359</t>
  </si>
  <si>
    <t>STU-3096</t>
  </si>
  <si>
    <t>STU-2732</t>
  </si>
  <si>
    <t>STU-7901</t>
  </si>
  <si>
    <t>STU-9464</t>
  </si>
  <si>
    <t>STU-9776</t>
  </si>
  <si>
    <t>STU-8502</t>
  </si>
  <si>
    <t>STU-4713</t>
  </si>
  <si>
    <t>STU-6280</t>
  </si>
  <si>
    <t>STU-7699</t>
  </si>
  <si>
    <t>STU-1704</t>
  </si>
  <si>
    <t>STU-6617</t>
  </si>
  <si>
    <t>STU-7718</t>
  </si>
  <si>
    <t>STU-1294</t>
  </si>
  <si>
    <t>STU-0633</t>
  </si>
  <si>
    <t>STU-7118</t>
  </si>
  <si>
    <t>STU-5038</t>
  </si>
  <si>
    <t>STU-4664</t>
  </si>
  <si>
    <t>STU-1516</t>
  </si>
  <si>
    <t>STU-6126</t>
  </si>
  <si>
    <t>STU-9105</t>
  </si>
  <si>
    <t>STU-4063</t>
  </si>
  <si>
    <t>STU-8107</t>
  </si>
  <si>
    <t>STU-2686</t>
  </si>
  <si>
    <t>STU-5434</t>
  </si>
  <si>
    <t>STU-4099</t>
  </si>
  <si>
    <t>STU-9323</t>
  </si>
  <si>
    <t>STU-1636</t>
  </si>
  <si>
    <t>STU-0581</t>
  </si>
  <si>
    <t>STU-9034</t>
  </si>
  <si>
    <t>STU-6732</t>
  </si>
  <si>
    <t>STU-5918</t>
  </si>
  <si>
    <t>STU-0463</t>
  </si>
  <si>
    <t>STU-7712</t>
  </si>
  <si>
    <t>STU-4473</t>
  </si>
  <si>
    <t>STU-6203</t>
  </si>
  <si>
    <t>STU-1759</t>
  </si>
  <si>
    <t>STU-6770</t>
  </si>
  <si>
    <t>STU-1573</t>
  </si>
  <si>
    <t>STU-4608</t>
  </si>
  <si>
    <t>STU-3934</t>
  </si>
  <si>
    <t>STU-3875</t>
  </si>
  <si>
    <t>STU-8673</t>
  </si>
  <si>
    <t>STU-2987</t>
  </si>
  <si>
    <t>STU-3636</t>
  </si>
  <si>
    <t>STU-7610</t>
  </si>
  <si>
    <t>STU-9032</t>
  </si>
  <si>
    <t>STU-9229</t>
  </si>
  <si>
    <t>STU-4294</t>
  </si>
  <si>
    <t>STU-2760</t>
  </si>
  <si>
    <t>STU-2834</t>
  </si>
  <si>
    <t>STU-7609</t>
  </si>
  <si>
    <t>STU-6482</t>
  </si>
  <si>
    <t>STU-3193</t>
  </si>
  <si>
    <t>STU-2743</t>
  </si>
  <si>
    <t>STU-7966</t>
  </si>
  <si>
    <t>STU-6979</t>
  </si>
  <si>
    <t>STU-3335</t>
  </si>
  <si>
    <t>STU-3973</t>
  </si>
  <si>
    <t>STU-8336</t>
  </si>
  <si>
    <t>STU-0782</t>
  </si>
  <si>
    <t>STU-9020</t>
  </si>
  <si>
    <t>STU-7571</t>
  </si>
  <si>
    <t>STU-2580</t>
  </si>
  <si>
    <t>STU-1448</t>
  </si>
  <si>
    <t>STU-4025</t>
  </si>
  <si>
    <t>STU-3489</t>
  </si>
  <si>
    <t>STU-6246</t>
  </si>
  <si>
    <t>STU-6224</t>
  </si>
  <si>
    <t>STU-4488</t>
  </si>
  <si>
    <t>STU-1895</t>
  </si>
  <si>
    <t>STU-2071</t>
  </si>
  <si>
    <t>STU-2897</t>
  </si>
  <si>
    <t>STU-2549</t>
  </si>
  <si>
    <t>STU-1453</t>
  </si>
  <si>
    <t>STU-1635</t>
  </si>
  <si>
    <t>STU-1956</t>
  </si>
  <si>
    <t>STU-6474</t>
  </si>
  <si>
    <t>STU-9724</t>
  </si>
  <si>
    <t>STU-6681</t>
  </si>
  <si>
    <t>STU-6737</t>
  </si>
  <si>
    <t>STU-1279</t>
  </si>
  <si>
    <t>STU-5051</t>
  </si>
  <si>
    <t>STU-5999</t>
  </si>
  <si>
    <t>STU-2823</t>
  </si>
  <si>
    <t>STU-3694</t>
  </si>
  <si>
    <t>Row Labels</t>
  </si>
  <si>
    <t>Grand Total</t>
  </si>
  <si>
    <t>Average of GPA_Post_AI</t>
  </si>
  <si>
    <t>Average of GPA_Baseline</t>
  </si>
  <si>
    <t>GPA Increase</t>
  </si>
  <si>
    <t>Average of GPA Increase</t>
  </si>
  <si>
    <t>Average of Time_Saved_Hours_Weekly</t>
  </si>
  <si>
    <t>Count of Student_ID</t>
  </si>
  <si>
    <t>Sum of GPA Increase</t>
  </si>
  <si>
    <t>Average of Career_Confidence_Score</t>
  </si>
  <si>
    <t>Age groups</t>
  </si>
  <si>
    <t>TOTAL STUDENTS</t>
  </si>
  <si>
    <t>GPA IMPROVEMENT</t>
  </si>
  <si>
    <t>AVERAGE TIME SAVED</t>
  </si>
  <si>
    <t>Count of Primary_AI_Tool</t>
  </si>
  <si>
    <t>AVERAGE CONFIDENCE INCREASE</t>
  </si>
  <si>
    <t>C</t>
  </si>
  <si>
    <t>Count of Major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</si>
</sst>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3" tint="9.9978637043366805E-2"/>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10" fontId="0" fillId="0" borderId="0" xfId="0" applyNumberFormat="1"/>
    <xf numFmtId="0" fontId="13" fillId="33" borderId="10" xfId="0" applyFont="1" applyFill="1" applyBorder="1"/>
    <xf numFmtId="0" fontId="13" fillId="33" borderId="11" xfId="0" applyFont="1" applyFill="1" applyBorder="1"/>
    <xf numFmtId="0" fontId="0" fillId="34" borderId="0" xfId="0" applyFill="1"/>
    <xf numFmtId="0" fontId="0" fillId="35"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project.xlsx]analysis!PivotTable2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AI</a:t>
            </a:r>
            <a:r>
              <a:rPr lang="en-IN" baseline="0"/>
              <a:t> TOOL VS GPA IMPROVEMENT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c:f>
              <c:strCache>
                <c:ptCount val="1"/>
                <c:pt idx="0">
                  <c:v>Average of GPA Increase</c:v>
                </c:pt>
              </c:strCache>
            </c:strRef>
          </c:tx>
          <c:spPr>
            <a:solidFill>
              <a:schemeClr val="accent1">
                <a:shade val="65000"/>
              </a:schemeClr>
            </a:solidFill>
            <a:ln>
              <a:noFill/>
            </a:ln>
            <a:effectLst/>
          </c:spPr>
          <c:invertIfNegative val="0"/>
          <c:cat>
            <c:strRef>
              <c:f>analysis!$A$3:$A$4</c:f>
              <c:strCache>
                <c:ptCount val="1"/>
                <c:pt idx="0">
                  <c:v>ChatGPT-4o</c:v>
                </c:pt>
              </c:strCache>
            </c:strRef>
          </c:cat>
          <c:val>
            <c:numRef>
              <c:f>analysis!$B$3:$B$4</c:f>
              <c:numCache>
                <c:formatCode>General</c:formatCode>
                <c:ptCount val="1"/>
                <c:pt idx="0">
                  <c:v>9.8202247191011283E-2</c:v>
                </c:pt>
              </c:numCache>
            </c:numRef>
          </c:val>
          <c:extLst>
            <c:ext xmlns:c16="http://schemas.microsoft.com/office/drawing/2014/chart" uri="{C3380CC4-5D6E-409C-BE32-E72D297353CC}">
              <c16:uniqueId val="{00000000-4463-45A4-8FED-107F3F19372A}"/>
            </c:ext>
          </c:extLst>
        </c:ser>
        <c:ser>
          <c:idx val="1"/>
          <c:order val="1"/>
          <c:tx>
            <c:strRef>
              <c:f>analysis!$C$2</c:f>
              <c:strCache>
                <c:ptCount val="1"/>
                <c:pt idx="0">
                  <c:v>Average of GPA_Baseline</c:v>
                </c:pt>
              </c:strCache>
            </c:strRef>
          </c:tx>
          <c:spPr>
            <a:solidFill>
              <a:schemeClr val="accent1"/>
            </a:solidFill>
            <a:ln>
              <a:noFill/>
            </a:ln>
            <a:effectLst/>
          </c:spPr>
          <c:invertIfNegative val="0"/>
          <c:cat>
            <c:strRef>
              <c:f>analysis!$A$3:$A$4</c:f>
              <c:strCache>
                <c:ptCount val="1"/>
                <c:pt idx="0">
                  <c:v>ChatGPT-4o</c:v>
                </c:pt>
              </c:strCache>
            </c:strRef>
          </c:cat>
          <c:val>
            <c:numRef>
              <c:f>analysis!$C$3:$C$4</c:f>
              <c:numCache>
                <c:formatCode>General</c:formatCode>
                <c:ptCount val="1"/>
                <c:pt idx="0">
                  <c:v>3.3467415730337073</c:v>
                </c:pt>
              </c:numCache>
            </c:numRef>
          </c:val>
          <c:extLst>
            <c:ext xmlns:c16="http://schemas.microsoft.com/office/drawing/2014/chart" uri="{C3380CC4-5D6E-409C-BE32-E72D297353CC}">
              <c16:uniqueId val="{00000001-4463-45A4-8FED-107F3F19372A}"/>
            </c:ext>
          </c:extLst>
        </c:ser>
        <c:ser>
          <c:idx val="2"/>
          <c:order val="2"/>
          <c:tx>
            <c:strRef>
              <c:f>analysis!$D$2</c:f>
              <c:strCache>
                <c:ptCount val="1"/>
                <c:pt idx="0">
                  <c:v>Average of GPA_Post_AI</c:v>
                </c:pt>
              </c:strCache>
            </c:strRef>
          </c:tx>
          <c:spPr>
            <a:solidFill>
              <a:schemeClr val="accent1">
                <a:tint val="65000"/>
              </a:schemeClr>
            </a:solidFill>
            <a:ln>
              <a:noFill/>
            </a:ln>
            <a:effectLst/>
          </c:spPr>
          <c:invertIfNegative val="0"/>
          <c:cat>
            <c:strRef>
              <c:f>analysis!$A$3:$A$4</c:f>
              <c:strCache>
                <c:ptCount val="1"/>
                <c:pt idx="0">
                  <c:v>ChatGPT-4o</c:v>
                </c:pt>
              </c:strCache>
            </c:strRef>
          </c:cat>
          <c:val>
            <c:numRef>
              <c:f>analysis!$D$3:$D$4</c:f>
              <c:numCache>
                <c:formatCode>General</c:formatCode>
                <c:ptCount val="1"/>
                <c:pt idx="0">
                  <c:v>3.4449438202247182</c:v>
                </c:pt>
              </c:numCache>
            </c:numRef>
          </c:val>
          <c:extLst>
            <c:ext xmlns:c16="http://schemas.microsoft.com/office/drawing/2014/chart" uri="{C3380CC4-5D6E-409C-BE32-E72D297353CC}">
              <c16:uniqueId val="{00000002-4463-45A4-8FED-107F3F19372A}"/>
            </c:ext>
          </c:extLst>
        </c:ser>
        <c:dLbls>
          <c:showLegendKey val="0"/>
          <c:showVal val="0"/>
          <c:showCatName val="0"/>
          <c:showSerName val="0"/>
          <c:showPercent val="0"/>
          <c:showBubbleSize val="0"/>
        </c:dLbls>
        <c:gapWidth val="219"/>
        <c:overlap val="-27"/>
        <c:axId val="1680054144"/>
        <c:axId val="1680055104"/>
      </c:barChart>
      <c:catAx>
        <c:axId val="168005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055104"/>
        <c:crosses val="autoZero"/>
        <c:auto val="1"/>
        <c:lblAlgn val="ctr"/>
        <c:lblOffset val="100"/>
        <c:noMultiLvlLbl val="0"/>
      </c:catAx>
      <c:valAx>
        <c:axId val="168005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05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project.xlsx]analysis!PivotTable1</c:name>
    <c:fmtId val="4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MAJOR</a:t>
            </a:r>
            <a:r>
              <a:rPr lang="en-IN" baseline="0"/>
              <a:t> VS TIME SAVED</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analysis!$E$20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analysis!$D$21:$D$22</c:f>
              <c:strCache>
                <c:ptCount val="1"/>
                <c:pt idx="0">
                  <c:v>Data Science</c:v>
                </c:pt>
              </c:strCache>
            </c:strRef>
          </c:cat>
          <c:val>
            <c:numRef>
              <c:f>analysis!$E$21:$E$22</c:f>
              <c:numCache>
                <c:formatCode>General</c:formatCode>
                <c:ptCount val="1"/>
                <c:pt idx="0">
                  <c:v>9.1411764705882348</c:v>
                </c:pt>
              </c:numCache>
            </c:numRef>
          </c:val>
          <c:extLst>
            <c:ext xmlns:c16="http://schemas.microsoft.com/office/drawing/2014/chart" uri="{C3380CC4-5D6E-409C-BE32-E72D297353CC}">
              <c16:uniqueId val="{00000000-75B9-446D-AB86-BCEDBCF2EFF0}"/>
            </c:ext>
          </c:extLst>
        </c:ser>
        <c:dLbls>
          <c:showLegendKey val="0"/>
          <c:showVal val="1"/>
          <c:showCatName val="0"/>
          <c:showSerName val="0"/>
          <c:showPercent val="0"/>
          <c:showBubbleSize val="0"/>
        </c:dLbls>
        <c:gapWidth val="79"/>
        <c:shape val="box"/>
        <c:axId val="208490720"/>
        <c:axId val="208493120"/>
        <c:axId val="0"/>
      </c:bar3DChart>
      <c:catAx>
        <c:axId val="20849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8493120"/>
        <c:crosses val="autoZero"/>
        <c:auto val="1"/>
        <c:lblAlgn val="ctr"/>
        <c:lblOffset val="100"/>
        <c:noMultiLvlLbl val="0"/>
      </c:catAx>
      <c:valAx>
        <c:axId val="208493120"/>
        <c:scaling>
          <c:orientation val="minMax"/>
        </c:scaling>
        <c:delete val="1"/>
        <c:axPos val="b"/>
        <c:numFmt formatCode="General" sourceLinked="1"/>
        <c:majorTickMark val="none"/>
        <c:minorTickMark val="none"/>
        <c:tickLblPos val="nextTo"/>
        <c:crossAx val="208490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project.xlsx]analysis!PivotTable6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CAREER</a:t>
            </a:r>
            <a:r>
              <a:rPr lang="en-US" baseline="0"/>
              <a:t> CONFIDENCE BY AI TOOL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analysis!$E$11</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analysis!$D$12:$D$17</c:f>
              <c:strCache>
                <c:ptCount val="5"/>
                <c:pt idx="0">
                  <c:v>ChatGPT-4o</c:v>
                </c:pt>
                <c:pt idx="1">
                  <c:v>Claude 3.5</c:v>
                </c:pt>
                <c:pt idx="2">
                  <c:v>Gemini Pro</c:v>
                </c:pt>
                <c:pt idx="3">
                  <c:v>GitHub Copilot</c:v>
                </c:pt>
                <c:pt idx="4">
                  <c:v>Perplexity</c:v>
                </c:pt>
              </c:strCache>
            </c:strRef>
          </c:cat>
          <c:val>
            <c:numRef>
              <c:f>analysis!$E$12:$E$17</c:f>
              <c:numCache>
                <c:formatCode>General</c:formatCode>
                <c:ptCount val="5"/>
                <c:pt idx="0">
                  <c:v>5.8876404494382024</c:v>
                </c:pt>
                <c:pt idx="1">
                  <c:v>5.6862745098039218</c:v>
                </c:pt>
                <c:pt idx="2">
                  <c:v>5.3684210526315788</c:v>
                </c:pt>
                <c:pt idx="3">
                  <c:v>5.2232142857142856</c:v>
                </c:pt>
                <c:pt idx="4">
                  <c:v>5.7722772277227721</c:v>
                </c:pt>
              </c:numCache>
            </c:numRef>
          </c:val>
          <c:extLst>
            <c:ext xmlns:c16="http://schemas.microsoft.com/office/drawing/2014/chart" uri="{C3380CC4-5D6E-409C-BE32-E72D297353CC}">
              <c16:uniqueId val="{00000000-4A5A-4C42-BA8E-E84D3A0C668C}"/>
            </c:ext>
          </c:extLst>
        </c:ser>
        <c:dLbls>
          <c:showLegendKey val="0"/>
          <c:showVal val="0"/>
          <c:showCatName val="0"/>
          <c:showSerName val="0"/>
          <c:showPercent val="0"/>
          <c:showBubbleSize val="0"/>
        </c:dLbls>
        <c:axId val="674096272"/>
        <c:axId val="674083792"/>
      </c:radarChart>
      <c:catAx>
        <c:axId val="67409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83792"/>
        <c:crosses val="autoZero"/>
        <c:auto val="1"/>
        <c:lblAlgn val="ctr"/>
        <c:lblOffset val="100"/>
        <c:noMultiLvlLbl val="0"/>
      </c:catAx>
      <c:valAx>
        <c:axId val="67408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096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project.xlsx]analysis!PivotTable4</c:name>
    <c:fmtId val="1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100"/>
              <a:t>USAGE</a:t>
            </a:r>
            <a:r>
              <a:rPr lang="en-US" sz="1100" baseline="0"/>
              <a:t> FREQUENCY VS GPA GROWTH</a:t>
            </a:r>
            <a:endParaRPr lang="en-US" sz="11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96257489028909E-2"/>
          <c:y val="0.30952903341943055"/>
          <c:w val="0.70968319284002357"/>
          <c:h val="0.44092706501629952"/>
        </c:manualLayout>
      </c:layout>
      <c:lineChart>
        <c:grouping val="standard"/>
        <c:varyColors val="0"/>
        <c:ser>
          <c:idx val="0"/>
          <c:order val="0"/>
          <c:tx>
            <c:strRef>
              <c:f>analysis!$H$2</c:f>
              <c:strCache>
                <c:ptCount val="1"/>
                <c:pt idx="0">
                  <c:v>Total</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analysis!$G$3:$G$13</c:f>
              <c:strCache>
                <c:ptCount val="10"/>
                <c:pt idx="0">
                  <c:v>1</c:v>
                </c:pt>
                <c:pt idx="1">
                  <c:v>2</c:v>
                </c:pt>
                <c:pt idx="2">
                  <c:v>3</c:v>
                </c:pt>
                <c:pt idx="3">
                  <c:v>4</c:v>
                </c:pt>
                <c:pt idx="4">
                  <c:v>5</c:v>
                </c:pt>
                <c:pt idx="5">
                  <c:v>6</c:v>
                </c:pt>
                <c:pt idx="6">
                  <c:v>7</c:v>
                </c:pt>
                <c:pt idx="7">
                  <c:v>8</c:v>
                </c:pt>
                <c:pt idx="8">
                  <c:v>9</c:v>
                </c:pt>
                <c:pt idx="9">
                  <c:v>10</c:v>
                </c:pt>
              </c:strCache>
            </c:strRef>
          </c:cat>
          <c:val>
            <c:numRef>
              <c:f>analysis!$H$3:$H$13</c:f>
              <c:numCache>
                <c:formatCode>General</c:formatCode>
                <c:ptCount val="10"/>
                <c:pt idx="0">
                  <c:v>3.05</c:v>
                </c:pt>
                <c:pt idx="1">
                  <c:v>5.1000000000000032</c:v>
                </c:pt>
                <c:pt idx="2">
                  <c:v>3.990000000000002</c:v>
                </c:pt>
                <c:pt idx="3">
                  <c:v>5.59</c:v>
                </c:pt>
                <c:pt idx="4">
                  <c:v>3.6900000000000004</c:v>
                </c:pt>
                <c:pt idx="5">
                  <c:v>2.669999999999999</c:v>
                </c:pt>
                <c:pt idx="6">
                  <c:v>4.6400000000000023</c:v>
                </c:pt>
                <c:pt idx="7">
                  <c:v>4.3600000000000039</c:v>
                </c:pt>
                <c:pt idx="8">
                  <c:v>3.3100000000000005</c:v>
                </c:pt>
                <c:pt idx="9">
                  <c:v>4.2899999999999991</c:v>
                </c:pt>
              </c:numCache>
            </c:numRef>
          </c:val>
          <c:smooth val="0"/>
          <c:extLst>
            <c:ext xmlns:c16="http://schemas.microsoft.com/office/drawing/2014/chart" uri="{C3380CC4-5D6E-409C-BE32-E72D297353CC}">
              <c16:uniqueId val="{00000000-A846-43AD-BB0A-1453C092162F}"/>
            </c:ext>
          </c:extLst>
        </c:ser>
        <c:dLbls>
          <c:dLblPos val="ctr"/>
          <c:showLegendKey val="0"/>
          <c:showVal val="1"/>
          <c:showCatName val="0"/>
          <c:showSerName val="0"/>
          <c:showPercent val="0"/>
          <c:showBubbleSize val="0"/>
        </c:dLbls>
        <c:marker val="1"/>
        <c:smooth val="0"/>
        <c:axId val="260523904"/>
        <c:axId val="260520544"/>
      </c:lineChart>
      <c:catAx>
        <c:axId val="260523904"/>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20544"/>
        <c:crosses val="autoZero"/>
        <c:auto val="1"/>
        <c:lblAlgn val="ctr"/>
        <c:lblOffset val="100"/>
        <c:noMultiLvlLbl val="0"/>
      </c:catAx>
      <c:valAx>
        <c:axId val="260520544"/>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052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project.xlsx]analysis!PivotTable7</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1718000874890636"/>
          <c:y val="0.21698855351414403"/>
          <c:w val="0.41147353455818025"/>
          <c:h val="0.68578922426363376"/>
        </c:manualLayout>
      </c:layout>
      <c:doughnutChart>
        <c:varyColors val="1"/>
        <c:ser>
          <c:idx val="0"/>
          <c:order val="0"/>
          <c:tx>
            <c:strRef>
              <c:f>analysis!$H$19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DD2-47D4-90BB-F2272E91386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DD2-47D4-90BB-F2272E91386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DD2-47D4-90BB-F2272E9138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analysis!$G$20:$G$21</c:f>
              <c:strCache>
                <c:ptCount val="1"/>
                <c:pt idx="0">
                  <c:v>Medium</c:v>
                </c:pt>
              </c:strCache>
            </c:strRef>
          </c:cat>
          <c:val>
            <c:numRef>
              <c:f>analysis!$H$20:$H$21</c:f>
              <c:numCache>
                <c:formatCode>General</c:formatCode>
                <c:ptCount val="1"/>
                <c:pt idx="0">
                  <c:v>145</c:v>
                </c:pt>
              </c:numCache>
            </c:numRef>
          </c:val>
          <c:extLst>
            <c:ext xmlns:c16="http://schemas.microsoft.com/office/drawing/2014/chart" uri="{C3380CC4-5D6E-409C-BE32-E72D297353CC}">
              <c16:uniqueId val="{00000006-7DD2-47D4-90BB-F2272E91386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-WISE AI ADOPTION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STATE -WISE AI ADOPTION</a:t>
          </a:r>
        </a:p>
      </cx:txPr>
    </cx:title>
    <cx:plotArea>
      <cx:plotAreaRegion>
        <cx:series layoutId="regionMap" uniqueId="{B8407483-CB28-4D97-B72F-F53BADAC5B78}">
          <cx:tx>
            <cx:txData>
              <cx:f>_xlchart.v5.2</cx:f>
              <cx:v>Count of Student_ID</cx:v>
            </cx:txData>
          </cx:tx>
          <cx:dataLabels>
            <cx:visibility seriesName="0" categoryName="0" value="1"/>
          </cx:dataLabels>
          <cx:dataId val="0"/>
          <cx:layoutPr>
            <cx:geography cultureLanguage="en-US" cultureRegion="IN" attribution="Powered by Bing">
              <cx:geoCache provider="{E9337A44-BEBE-4D9F-B70C-5C5E7DAFC167}">
                <cx:binary>1H1bc9y2su5fcfn5UCHuwKqVXbU4M6Ik3+RL4jgvLNmWSfBOgODt15+e2M7RYMlWFnb2rmO/pCKJ
YE83vu5G94eef35Y/vGhvr0xj5ambu0/Piw/Py7Gsf/HTz/ZD8Vtc2PPGv3BdLb7NJ596Jqfuk+f
9Ifbnz6am1m3+U84RvSnD8WNGW+Xx//1T1gtv+2edh9uRt21L92tWV/dWleP9ju/u/dXjz50rh2P
j+ew0s+PL9uP+ubxo9t21OP6Zu1vf3588hePH/3kr/Nv73xUg1ij+wjPYnxGGJZYxOLxo7pr8y8/
F+qMcIIpQfHnf+zrO5/fNPDcg2L8IcTNx4/m1tpHX/7752MnEv/5U2273ecPu+uOsl0+/+PD/HSq
zP/6p/cD+HjeT+7o29fFQ78CURvd7rUdjf4wop8fp+am/fjoTTfe1F818FnrJ394n6APverzhrhX
wH+XwpU35mZ8SIJTTT1gd64wR4Liz/ZFp+ZHZ0yJmCPE1B//+NdXfzZ/+rA892+APx88UR+o+erx
N3b6/5e74tVNeWPH4qb9qpZv7Yn/wCL8jEnKOEdfLIJPLULOJFUq5gp9togHyL8k0f02ufOoZ5VX
P5ZVnt2AA76xxWg8D3nysf5DD4nUGWU4loSpe5HCz1AsFbjKz2ZRnl3+okz3W+bk4ZMP8fPjZxc/
FGKe3Jqb+u80S3xGqZJCCHqKE35GY4k5RfyzuQBGn4PlZ8/1sBz3m+Lrc54Vnjz9saxwY9qb8ab6
Ow1BzwSKKabfiCSADy4UYoR8Bgjx7PFXJPqGSf7fo75V/vVDWeXNTaPrR89vPrqvuvnvhxOEzmLE
IXuT8hQfEvAhYhwzSPjuAuOvCXG/Je4+65niDSRxP1C6l2gIIV8V89+3AmZnsPklg+1/X/CQ8OtY
cU6V56UeFON+O3x5zDNB8uqHMsH+ti7032gCecYpOJ+YfwkI6BQP4gySXCrARp/9k5fpPijN/Zb4
8phnif2PFS3+1X4szM2ja3Pz8dYWf59JEDsTjDEkVfwlaTo1iTpTnFE4enzJqbyQ8dfFut82/vOe
kf51/UPB5eLGrDft3xjQsTpDSiJFIZO9WxHgZ4TGmMZUfnZlHlD+ghz3m+PPBz07XPxYbuvZzcdi
/R8ACyZnjEgEgPmid89/yTMspeKEfPFfHlj+ulj3W8d/3jPSsx8LLC8+alv8nViJzxgiMaVwOvz8
7wQzkp5RLBkl8Zezo3c4fFic+43y9TnPGC9+LMRcu7a8ef/3hRUSQ4kESwU1rRMrCHYGwYQKor4c
QSAjvpv5PizH/Vb4+pxnhevkh4ofb27rmzb/WyMIEmfgqzhTyDt7qLM4VlDGYl8Cu2eIvyTK/ba4
86hnjjfpD2WOX8YRmhB/e8qF+ZnChEFB93Pwjk+jiAQ/xvmxE3D/Kf0vS3W/dbzHPQv98mPFkLe3
dnyU3AJmHuwI/AfVXyjvQkYMqMH3BhJxpgQC//U1kHjJ11+U6X7rnDzs2ebt/7Iz+3Yn589uxh4K
WIc/2l93Oizf/+0fnxsact6jX6LA52P+SZHia4C4/PjzY4QgpfqzqXZc4iR6nHTC/vz7W2gP/PxY
CYg8SBDGCOVQCODq8aMZts/Pj7mEJBuOnDKGsrLEMQE8tp0Zi58fE3EWCwHek0Oxn0BiAQVO27nj
r/iZ4DElUPbEAgqcCsoGXz/adVevedf+qYcv//+odc11p9vR/vwY1uk//9VRzAgjKiiklceKdf/h
5hW0MeGP0P+x2ZJ1lVb8okB7xV7YCboAf37+/2Dd4/vurKuwnritF3EYWVEXybat69sC8+Vzm+8z
Vv6D5cEqd5cvRVSt89KKQ2EGY17NfIvzN/mydZ++Lz5A6V61QBJxd33VbJV0VcYPCjO7vexRo+Kk
ICVDSUzjBieUDGN2/v2XfcsGYP67L7Ng+3LOW35YLJEkkTHJTdKtXP7+/fWhqHfvh4lP1xdqiPtS
rfzgUE+fITTT5vUclzF/usqxXdJIbNwkzTr0r77/wm98IAk7/e4H6mXcT+L4wqlWYrnqCpe5HbWu
0Ifvv+C40D279ljWvPsCqbc5Hh1hh7myYr7iK8nwrq8sLp6yqijxM+QqV+0GO7SrSOKaouE8bovJ
XHz//d/YHtx7f6OmmZUuF2lT2yF7JZpmcL+SYVPx1RgVSrwEeBJ++f2XoaOd7vu0R7vewVIvGlsx
u7KDy/Np2EksU0HQp74iw1wlQz5PTeJWET3t5hxVB4e7TrZJlEvcQA0qAM3yqIc7EtT52kw1m0Hf
ErMdMd0nwWb9gDK/tVs8F9SBW5jlOrLDulrxW9ytXZJNrnwRJrrniGpZam6JYYeKaH0bA6njaRvp
yu3ClvccURfNrB8Kxg71KKZf0TzQZMk2EebmpOeGTD2XfY8Hdhi7aNsO8RJNZs/7rhOB4nuuBy85
kmtdguvpqCt3K+cLTYYBcLsP0g/3fE9tCEfrUorURP2c5iOidZITmX8MWl56y+NyjdrO9lHadqvg
1xZO/OOvzThGn4LWF54nszJ28bwwmW4dag5rTiOTLLqy5gH9H/f4PdAWniNRXUVrh9cs7SK5Neez
Qf10qOcV6f2gC6oCX+N5EEK7TM59JNJxdHi8aHnXxoetRfVy6PU4L2FIFp6bGLppyMjSyLTH1fam
MmvxohVcvfm+Lb6lK89PzNUi0QwpVIqjRR9qawR5mtO1G95WTFbLA6o6+oX7LHL8+R1XV8i8r6To
ZWpqul5GzRa/UDkyNeTGAZ5UkNPlu0yvMSiHp04MeEnicqHv+Nb1h7DlPYfhJtEJCd2PdKrBAmOd
NwfqItEHSu+5C6dJu9ZrKVNqpwpssMolSmy86i3wBR6eKxWxQS2gfYWaob3sEWvngynFNl8HKeiY
hN81r8ArsShaeKpsoX8V0trrRefDGiY/94AmVgPHNmi3pj2ho74YN7KopKiaOQ6DGPcgtuh14CM2
Iq1s3tNL2+BJJqWj5qFofPQ89+x/7qFszcs8bmYw8ZCtvdmXORHiuom2iV/lY9ZUhyXHa/tb3Ujy
u2vzuQ3McrgHvHrJM9FtM7jCWtb9VRHZTMDBoVKQNcpxLumYtGO5TTtd8L45r5YtF3tOZ9K9nuKR
u0AFewBdMx4JWUVZ2ojI7YmeRSpFTR7YH+iIlPvUi0/3H5vGRQ94UCmJN9MdNpRN44Fl21Zf9IqI
9UVum+5TH9G5uaCbbNnzhRDcPsNCyvI3WWHGHhDlG46Oe1iWbcn6btY07UVmyY5v6rZflnkI86PM
A5pDhsuyzGma94t8xyD8PLdx1IT5OXbcvXe89EDytowioVJWw0lm55BstsRps9oHtsE3YHAkSNx9
gdXDyvBiZDquc4YvJTUmfr/0CCBR4CLukla7vknwxvv8Q99sFgfqzQM4mdsarGx4ymXWuKQfsG2S
1dEo0MUyD+Ab3arBcSMObmDowNcp32+8i/ZB/pV5KOaZittyWLbUunxMt1aUCTd9+YCT+MaeZR44
geJSRAucs9IS62aHR1Tus7XDgZvKwyYcRDqJdLelGM6NSVygt21OH8r0viW6BzfE+5Yudb6luVjH
Z25tY4ifQ4HKwH3jRc6idGNPzLqlUdaoSzwt1T4jkqZBZqUemkk/sX6sYPUxw3Q3E2ET2yAdJjv1
0CxbvMlJgFmjERe7irgp4ZWgYY6OelAu48jEc2a3dEC6PreqzXcTo9v59zVzhM09Dp16eG0zVmwb
iuZ0jtgtnASr6ZyOVd+m4yx44CfwIEsmMbVllc0pAeC+UmNXHhDtqrATMvUgO7aQq8wbn9MOGMmX
UjG3L9c20N1QD7JobOpMbqVLc1vTJ7puxLN+qQNF9xALkTSrKkTGdOjKDO0Mw3YniqUq9t837jdA
Sz3Qsiy3VbRB5aVv9XJVjfn41GVZHQgqD7JQH40m5Mrx3Lh8tq/JHMv6BTOSF2H7hniorZCehnzC
C+RsbttVPXu3qrV9YON/QzfEAy0ro4pKmU2HoS5QQqzDyaCUCxTdAy3pS4qzUk6g+eidwZCAtWrJ
wsxKPMxW/WaiyPIvolM84IRNPFR0H61MZk4WaDqoGYrG+Li6DVfM0Rx3Mp8qnvqstrD6Uqpi52Tl
Es5xGah2D60FZbIDviisTvHtoGl9nus8sNhEPLRWcNtK6hwWV5tr0looA0cjvoTlBscmyl3FLCMR
Wb1W04GN2ZwsaMIJ6rMxLEQRD6tN0eO2I7E7tNPWJnOhb125oTCtYw+ndjNj3xWzOzRVQRNO2bto
sjhwcQ+nccYMWYtoPIghbvd20TfWbTZwcQ+mg1VLCZmwO5RcFQkvdZ04g0Xg6h5OBSmjXEcKRFcO
PbPQHrnORF6Htaiwh9PFUdxSWDndENz1S7ZWcraPxkjasD2DPajiYVGN6/MpXWnTmiQiPUv7GY8f
goIT9rCKdIZNtzQQWTNbX6nSor2tyvUQtjo+hZMzWU/ylbl0VOR3VOKXlpKXYUv7SLVr2axrNKa6
iJ6De3y3YhFYX8MeTpXWjUCtGNNyLuTeFexNV2VdmEGRh9O2spFR0rk00qPe1aV4KvAQh232I13m
rv+CtvDc20VGh7ZePuoVvcWseRKkcOShVOo5jyBeryksa8dkw7bgyWpJHuZ6kYfTKWeuqKgZU6Az
xL/REfxAYvWGwjIN5AHVDTWO66xzadOZbd8t4n2h+yxQ7R5IM6kHMWnjUraaddc0PYhePdR5PS5y
z+HgSB64a1PVcqr7qBlT6ParZ9Lm6FkdZf3bMLN6EMUjHg1cXYXtWGRFQpr5NyF1oEk9jG60U2VW
VC41bCIJksu7epDXYXJ7GKUzXWZNYO2otG+oW58xap8FLR17CO3mLMtHko+HOIuiXVRmT/UWB9YH
Yg+hCPW92CIcHeAex4tmFe+kWesw13K8gX13p0QF5OmmA53URfuyy7vzrCnCPHnsoZP280oWKHof
um26MDN+QllYBI09YPYrG3nXw9mON/lT2S1pa7KwzmfswVLX41I4B0L3zS/b5Hal+DVsh3iQrFVp
+q0CI9Kiem8W9VJuPMxPxR4e3TBVyzrzMV1tid5s64jT0hG7DxPcQyRps6UttRpTG0F3H7fVhcrU
b2Fre4isam0ZXOyLDkxDdhvF/IYqEhbYgO15urVhYw9DHUNILjRfEmZptFdKTEHAgVugp6tLO4mR
sik6DPy16fYS+sshOqHKQ2SRFwMdinVMnQR+xUxsn6CBvwlb3MPkDOSRdW0ze0BFfzHX0G4fSDkG
7RRg2J6qxDgXV1ENi8uaXRPXf9B0NYFa8XAJF0XWeJDKHkxDrhmsvbgpdG0PmmjWgpAFQdkYk/ip
k3l5NdCFB2rFQ2dh6VRDPgsbhW082eLyl5oXQQkWVR42F+XoXClA/kLWsdzFNOPdHkMGpINcC1Ue
QPu5oRmwKMY0p/1NNE9vofnwS9BW9MlaEyGx4QT04lzO9oOrdEJgRkhQHgEFIW8vFpOAevQCgi/L
teviq2UaAhEqPYSWjYipKIhNZUWe1UA4PMAVcRymcZ/y5HIDnEs3jWnc1y9pVO9KUwQlKVT6+GRR
u+aksSnGDO/mBpkdouWnMHN6AF2ho2BlM1pgAPB3uV2utGCvw5b28LmYMaskjky6onpO6k4M521T
hlEXqM916tjcqgn4NSm0kLZ9u3XPBbFhfXkqPYC6HtuqQLNJO+Cn1Il1JnoSTfH6KkwzHjzniIBX
pA4sOq0fLWRwi5Xvg5b2GUgjBJ6i551NK56/Wvr+Mm6asH3ok4+mTFa8rKlJt2koDtOc431Utx/C
5PbAqTeaWbNUNlVFv6vo+ryRD6WdR5z8+6mK+jSjOYJ68NQLkxbNxFxiBC+fDbxfkrnEbt2Fye+B
lFXt0lYdM2mtye91Qd9GffUmbGkPoguQEGsuMgP4n+zFZA1K0ETDWnVw0+nU4+a4YNoQDIJT9LaZ
ojahUf9rmOR+DF2GvjJxYVOGNZ0PG3ErTVpZF1VYkBYeTmmR59LJGrbkEr3UDX6jh7CzOBUeRmvN
Bjgww9LZql6OsX6RER7UhqI+qaiWa9YM02pSkjU4jSQeX6J81kHkW+qTjbGYYjZp2IlZvK3JaoaU
0EBGF/UJS82SReNiC5O2Ux8n8STOhzkPqw7DrYfTrTga6hxVoHJwj0+mFT+p2RKGIZ+mpOa8duWQ
m1RkeZuIbX2ijA7rm1GfiqRgl8QLrkyKuumaoOGpicdAuT10Gg3dCT5HQ2q5fKuReVlXQ9AhjnIP
nNlCmyrvS5Ny0EyigBeeDGsjw/yhTxcaSTlEZacG6NsUw87g6qWLVFgK6pOE4xjOWS2LhzTXpCmT
GQoVBxdHPEwxPhWpLBXQxsoVcKPWZicd569qHW9hFvWpSFPJeAZkuCHdlME7ZOlziKRh3XPq05Bc
1MqOLR1sl07RuAJfu1a2SKSaqqAaDnT4TzEK/NlY5UsLus+LWexaKJ6lWUaHsD4C9elGa+WcNE3W
pzKy1bCb5r755JSYAw+NPuEINTims4r61BSr3Tc5LxPQEDsPCng+4UiIZZHxFPepqznexRyI3wRO
v0nY6h5ixxq48Za0fWqpyMcEbbi6qdalzQPX96Lpog038wK66YqyS/TY/LLUKCzmMT+c4m5uIuFA
763sL1Yb2/O57oqLIM34fKOJTGTt67lPy4xtb+Muyy9gbEtfhSnGJxwR8JMMr2BW1WaDPRdOEpqw
rOND4Au87BeacVXX9hNontj50hj5SzHUYbV56lOORNVgIAGbPhV0fK1z+3Kuxtdhevey3jxbZ1LX
+ZCKVv3edjNKCph3EKgUeupqBiiZy8g1fUpMKX8X0FS4cFUzBW4ZL7KOcbSsG2FdCkhVCQfqSxKt
kTiEKQafym7WCHr0NazOptUlDPVXVfsQi+mPFPSeA41PMxr0AvQ6ibt04lWeJdAtLsHZCL1Uu7xR
eXXR9Ov82jW2viSWRDwdi2Jgb+CKmxiuof5nzWslGn5RQV+yuyirlvJE1BqK8fkyyHhONloO5pd5
wJHbxevQVjddUUTDjkNiifeIQa39IHq3uH2NoEq249ClXi7dEMkyxWIp6GXWlfO6QzFUE36LgNm7
niNSWrEnYoE151qP23k+qMLCbTu8ufMG42Xb26kh7e+LoDS7HimPyvcWsWFI5YbVlJoFPu++Hzd2
KOOJyV0rMKp2fBW5u8hRl6unXLZwVSseNvwahj3MyYS5uey1NVsad0qu53NTT3Q/GZqzwyRmCiXs
upjoLq/7poN8Vql1J40mImk6bdCTuc1KdVkTNNJ0A23PO0aq6XLboua5aaeY7mk8TVtSZibbXteo
7ERYFuKzX4ZWj8BvV12qoNiWMFw+LbY87NYKTOo93Z4xfDRGZd+la9dnzb6L5zJdhlgHZn/U8/bN
Qh2vHOlSzooOSlZRgnOiwvyCT1MjNFshC677tODNbUar15nQgUqXp3qZoI201BjkZi5LraqvMobC
KpvEc/FsAloNgvJXCpf4lySLVJWoGnWBOvHSMhPnhFfQcUxzXJbJUg2feGnCMlbiOfkS7uZOrYi7
1K2ufw7Xv/RFR8YmzA8Tz8sXXMeuxdymuanoUwrJN9wrcOO7ID9MPC9vmnyapn7q0krm7lcjhw06
Ea0cA9Xu7XPUarRFBIzK84YtB2xbtyUiYtWwD5Lfp3qNzTBnUTF2KTSqPs09vWKRDbtyAdNvTjd7
72YzDavo0iJWwCMbrVjqHVEl/hQmu7fjJzZsZHK4T+tBbTIR3UCgxy4xDuNiUOxt+rlvaxQvOSQI
MGE9cWIuD1rrwATB53v1Ys7KLYcQDj0aswNGGd/10RynYcrxtv0cw+1lptsObqLW9RUnExsTPhge
xu+nPtvLlm0ORKYOPFnrxFXRkvh3ONOuYaVg7KU3YmmGrbGQr0Ipa7nMaOZSEY8icNN70QmT2il9
dPClbvKdnYc8cWPThGHWp3whgxa3wDk5jdaW3BbANr/dGteEMT+pT/pimLRlUVZ9yriYostKtWgX
Z/PMHugdfuN6P/WJX3AfNMt4Ldt0qxExb/pKT90uEy3u97PtojdwI+x5FKm63EMWV6ldruAwel5E
jHVh1vf5YXCRlseuhPxzXodC7qKmhAEUTdH2ddgx2ieI8ZhscGY5eqZsRNmTRudwI3wd1jEOq075
FLEtdgaupOI2hdF4ukqWuZxpUlZ0CsxRkAdvbrfGtBhesDoMtOXNvQX2/ocg1+GzxOqxWUfltjbt
TWt3S04+bSMLFdxDdj5syNpKNCnktuc1rq4wtmElgD/uON6hojdRFOczTBBJRzrZXRVRaDXM26sw
pXiReCxqk6N5atPMGXlwBc6ThunAUOnzxGYB36/RgkVTbZbofVPO5IOJINwEye4TxWxJ2462qEkh
XXkupu1JPeQPzHI57rd7joo+TyxfoM/ITdemdsHFFaqNTOC7QuawIOZTxeaKazlVpElJJbs8KaUc
rgrh2iIMpj5hjKqlI7yNm1SwttwNSl5UFK1hccCnjJm+zfNM6TZVtJifWtPQnRjL6eX3bXpMju9T
vJd4qrlapxlBfK83OkDWHNtcHeoYdd2Bw8GoDcqxiM/dgYEcWdaPpk43I97DQf1ZI4q33/8E928d
chwldZdiSKcYWoNwHQtuCHZZmQzWTbczGcJmA8B8xdPlNeTKbZG1dap6mUF1x8rLhjMXBClynJF9
V/gOl27ZDAif5QWc8RHuE5j5EOYOiM/fUXwTK7NQ7EDziNZ9q6H5uyvbtpyCDoswA+BUfDnNWQ9p
RJ2igq97mcfxdQeXp4J8JRSgT1dfuYYT+TxE+xzlS3dVxih+jnHPXJD0MPj3dH258kxykndp7MjY
J7CLyqO/j1W3D9ma9DiQ8K51m0jbYVIaHCbDr90Yv8pRFrRxaOxpHkaSjDI2IDuUfNleG+gvbQ61
QT4H5iWeCt6Ch4wqoKoekDDZq2mN+tdtwcKu2MGot9PVa90iF2NbHxMD+bJvCEtHzWSQ0olPcOyh
5BVnzRGwBZTKukG+jGiuAxXjHeXcOrarW3UNtBWYK7aDG7HDu61W3fTA+n8UK/7dHxOfWAZj3vHC
uQNvxh1rXgwIte5CV9NgzuEg5vA5zNLjdj+weumeRiucCp72ohyadxgReu443i4FjVaWqC1zMP5g
jarqRdOyBe+aYVj1bsuLbHvfZat2520PMXfnWLl8IA2lT6a+HK9WXUznJHMzLAFDKookbjTd3hQI
7re8rI6DJN60WvZ2Dwc2usFvzbwrYmB+Pi/7Itr28NdWPyM466agRJL4hDjgNQ74eCH5kGeofD6p
Sj3FGudhAZb4lLguqlgH1dEqxUt8y/HwUqH8OsQBEJ8SB2fNtYn4XKVkA55tjekl7uxDky6Oe+6+
reIFPueiJt/sUqVDD8M0Lo3d6nmvVmA97Gc4IeSXXPG6eBf2SbwwiAbFOJ1YlUZ9xA+0muvzra/z
X8JW9zxxsWYOzoikSqeOFvso296OJX5IT/enODBn/NTdoDjXrjKuSnnt9GtgVdMXssiXm6VE0QPF
wW+9wvPGcaZEjvuhOtiFVHxfjIMZdDIZKLZf6hlutD1wqP6GyX3WHNATcjfxOj/Ad9xV1bljCwJ2
WFQfdLNJvANGd1hVifgkuryA2klmalBaiyMguvG34IgCcyrhVdwiGDgChYC2ShG040Yyn48Evfr+
TvqGJXwSnSDA5dzgDu6+ygcxXqrasvNOKuj783yq4yB2ARHHt985IjJYm2stIhjTAbP94K57/psa
RNjVVnL89qe7q9tVDVqvpkyFYOM5cK5lkhUo7LBCfCLdpKEUSRwqUk0lPe+ntdlLpYPOcUR4QI55
j+pa1NkeTfoqzkhCOx6ocw/GK4lr242w9LbRQ6aG80bjoPMh8Tl0K0wq01ZV2b7S+Ilg0ZOBh1Xx
iM+hA1rhcRCuzvZ9OQ9XpbVjGjHy+vub/bgh7okAPoUuY6KYVhLBZke5PfS9ocmqanoetrqH0lhV
JmNxpFOhbf8EWK9vh3wNGw5LfA5dzkUeTdjptF5xfe7U2F7EQx1GRSU+jS5aF+gbNkanuiyHfV/I
p5Ew9hCmFw+eSxkPzpJO7ceG6uUc4/mX3lRVWFERvqH0FP1Fp8ahpq3at9PwvKq7tDRdWBD3qXRr
sSx5k0MiVY9OJ61r491Wswc877c2o4fPCdj5G9zwAxDZqUuANbbrOUwUDtO5F2A3GNJjp7HXcGup
WXdt3ndDkplWhRHSYCD1qdJVs8Kdi4opuGjVbTiRdWaedEulw+5BEp9N53ibtWIgat/MG7Q9XwIL
4AHN/FGqvccJ+Fw6yjcEw6nyIkVrRKYnsW4YXDDKYdjmG5iU1KWaqY0kYpgaduBQXZt3w1ixCUZY
9nw9H5yKh8PWoxzfNILhKc0k0SKoAk+OX7dzN5LVaiQbZMX2oMVizlk2wpjfqArrqxF/wg+ZMdnq
arQHMjcFsCzGN3ClcnlAr9/Yzv6AHzcPMCZHrPawCrQlVVyZnagC/dPxyzzu6oVVjkdkmOxha2BE
wzyun2JThN0fIj7tJtr6Zshq4g45MOb3ai6KXYzh+lYQEn3KxAbU50xP4ExFj9/bhrxuChx2pRK+
0OxULUUDJ/aup+6gYxMnS4+zQ5YBdSZIcp8SukQDgiEw47GcZMb8UpNYukNhK9vuw17g7fZW65FL
VIj9YgoO0XItXbsr4AsryIewF3iRx4yV26asdwfXFf2hkXTe94oGtT2IzwmF8wMjPWncAR2H0M1s
gLEBVASR/eFLOE4t24uJ2myExScHs71rS4ekq3EY4ZQwL/TQwsFoBte6Ay5RvyMVKhOo2L4PU7oX
erpKwhfBkGw8TLhoEhlFcJtwoXFYkuUzQnMgPsc0IuOhA5pX0lUmf14LMv4aJLtPCKVz3xPEh/EQ
KWjB0WrLD3plYYrxB9BpM6MOWAHjASaa4uu2War3PN5EWE7us0E3VszD6MBFti2vdzDZHMYT0eyh
ETxHSN4TNP0pXzWqBlx1RJ7zrGbTdeEa3ZyvHNfmnJoeomCQ/n0yVTaRjKISHBp8K020nzDLd+3i
wshUxJ/31ReZGEcOq+d5q/cSmFQ71a0fw0T3nFlVggWAz2gO/dKvO90M5d42WZiv8clUqqfx2DBm
DlPlpvOmkDiBCcPb/+Xsy5okxdFs/0pbPQ89AqFtbHoeAPdwjz0jIyOXFyyXKHYQkkCIX3+P1/S9
0xW3q2ssrcrKLCsycBykT99ylp8LNm/BVGFAubEbbw6u3vtjbLsPe9yyn3ylbyLZXg/pPqHXc9Cy
FvnQb20OSOrPwf4x1f99nBxFEE7IUh+iITJ5u+sxozr8nHITGNC/v3qZpr2JW64PjZvrfGdDn0tI
y//c8fcWA7bEAS1nU8lj247780709tKS8c+03i9n3D/ZsW9RYCX1Pl4AVj4wE4OPconxOon/rEf4
R1d/U+vC4Qbt6qDUMY3QOl+j71M/Pv/URnqL/uriJC5haSGO0Pkq+2zdAfBz9WY//dzl3+zTuJ/o
tBOjjkwPIzCs7cbrWx73o/y5vfpW7ktbuSBx0uqobJy1KrnuyU8efm/BXxDiml1IcOkhRSp8wUOM
PwdIpG+RXzBQaMpazOq4X6SPOh+neVpLn/3cQ3+zTVvS124PU1pAhes0Gv1I+M+pCdK3sC/CACqi
w5AWHPCHdoxu07F591N3/f9BviAjVBs6pkXClyG+SnUP3nXth+XDz13/zVxv1PHc9sskjukUb9A4
T216faHq/Zme4GUz/pMQ8BbP1USdTqUv+XHQkT25cl2HeytIVR3AUxXluRp2X9+5vfxfFNe/VQf/
7EMvrfh/aPWKkJTj2s49KoXNj1se902f6EPXYdf1x7rcuj6bpwEOMtlIZ5ztWxvMKM5Tr3k9HFFY
t92Q9Xu3hnNdhqj8SqkH7G4kgLR2GW3D7n2GgkfPtx2Ppb5bbeljft6iVMxdZva+ipqMUNXQKjNO
aBRFE8ery5iap+qrNvWwxFnaiWY4072D3HMRUNCLqgjz6k3eBdpu7yEh59cmYx1cdyDzHZrNjlms
loinmQrQbu9Ose44tOkH9CzdkIFX0C+4QSum8YNOBuSOrWjlr4Me8L/NMqdrwQH3pdmCJ9Tl6+qT
5moPy8YN6mVqx68TmrZiyTYTk9hnTPKq/jw2aae+D9UC7x0QOffJDBnUvtrw6QLSO+l9CFs2QjTK
5t43Nu4KAeJkedgxskkOUVJuNi8lVprKV+4DG4pk3Rm5ieXK1bFhyz6AFzZP4QQZ/zEXXK/8riVL
IwvSUE/zWvAZWZgcZCEHCOBm21zxeQR+s53qqnAKJZbI0SHZqgl3No9GZDLhAryRtbkqU4G0EbGE
D8s13tZUN5mRyOwyFUf9UCzDmHyZ3cALH/ZNfF+aPdCjNhPr7neTSP5Sz4kQ99SVlN7uZS2Xquh3
cFTSo/JLDEWEnYulvwNDQ+J96abRuLmK7KpajgSqxsjGBjLt3SlwuvlvsxyaqcqnFc3gswADST3H
m9hsyPsxhZNYJaOLDGS/9KOPwGLZAdqCgo5Y1uUQ8C6n6ZwwNNKSM+9GWWcd79SRd/WYT3zzg0EB
GyK7XjLL1d6QxXYHbxCj7vlULe3ztiXVKLEcpmQ5tpTZLZ+qOk2gEluHvkCPo5afpaPjdKO2HU2g
mpFlM5nXDs38DL7yIkEG5RylNFeM0vZd3EnDjxBY6babMfExutrEQVttx5jZrRW4WyRY7oDk5BBZ
I/3yLekjcGbMKlL9XrAhlkVdWtZ+Qx9E9tg0QzqthW3ZZO+7hVT8GfCseTi2QYAmpCYyseudRUl3
G9e+2380Yz8tYMyYaErvZ2za+jDqOiRnPcTt/LGOBkkShLeu4iwTQ6r0PXGui7+lbVnKkJWVGqor
79eVXRPTpNOn1vPAcmjeE7DRKw+fY0g7M95/L52vuirr5k5+Y5TP+iPY5XudY7qEswtUiSncAdVn
JX55itLvU2vW/TwkOoTnbidxnOsaO+l7m2KZn6ou2e+dItWRJLNsH6RZBD8Q2ej6ae7qbX/04Egk
ESbR0A2QxUWJmJ+td+P4a4fJTX3T8pmGq2lq+/JqTlRsbpZZiSRvU5omnyVPUvUj9l15Dwp5dI0x
0v4d7JAhaz2rigoCQVGxNbv01zB5WPcTxIPop141qSp0D6bjOxHqfryPq7KJz35qlnCI5rrdTioY
wq8E3zrykfCyK5/qWVU618FF0ERsibLgoQwcRn7rbpm5s2R35Ew11/0HOGuU08PClKiPpO4mUbit
XRE7PZOmPgI/HZu7Wa38ew9NgDEv0aXxD/VGDEJJPW3+wNnkTFUQTKvWm66FwPGxrBYNhkok1uq5
llal50FrzTNXRoZ/q2vV6rwabefaTI5xSWAOlNLtbPvBusL5hESFs2MSZ2O/e/2ZOoU7KBipYsgZ
briLJqqsydotsuNhvEjyZBC027v72YOYdmDa+C8JCZ7D8ayCVWQOKwh+h3Spei2xhUXe9nUy5Hzw
bPoYZvgzQuBoGCB5ltFu35uzd2DJPgf405kyq2cnNsT7XftpylqHY9pn6Hiv9rtfVspe4JFhcCB0
UKtRTz2ucnmR2i3mABNHTDoPo08GloH7ObKrXsWqO6xrRfuQVbGT+43fbIUO5gbrJ3UiZUCOCCZb
XZ8tjM+ibDdNE73nrDNJUad8iQpL1lgVIux7+2LITtvT6navrpZhispi9kkZbimc5x5JbNvmPbrI
Seiypu+dOkI1vnLXqkMFcx/QhZDHtGtw3rmyZDNw3mm93Q4Vabt82k3s8lQbEYG3YGzZeLDndhs/
OdINIGOMqXOPzUZEcpowMm7vJyjdNXO2hhQON9AVz2ZvVHyOqbLugdk5Gr8mzSb7W95TizU21kNf
/6C93LESBki22cNUyWY94ptt7YENXWo/8G6ty2tbNS09g0TL+7vFJDDFOiAc9byAlxEtX3dIJUPT
3NYtO9mpqSpgm0FiwhqR0FG6rlsX9Em3AwVmOAGGmByshuthtrowJu/xmfJljWu3fekhGg9Oukrq
Kc1nyC9WeYT4VOZbqbf3bcIdPUmlwXVh4wiw6rAaGeVBLw4ub2byGwgkq4hzDBRk/YjbZexh86Fq
TtGYpJgcNWUXLc/DsE/jNaC79Y6saNy37zg17NhBI5WQ+N1lUkNJTutZ7Hc7UelgEYn3UJ5li1cP
oVkOR7Bbj4A8P8D9wpozcbVyp81xxS4n91ZDE6DCY7Q2cwq7nECvrtqXKp8bH8I7qrZeZXAak/wo
0gHxLeuob80DcbGcv+7G6rTNerdu7BxgYL7dp1j99afWbvCIwZekU/nQoTXun2SHh3i9J63ZipEu
zJ1w/ke6wsNNhvXgdyF8heTJTTtepqnW4+q7aPgg4uCGxxXPbL2eWyDwHtq1qZs8bevJftq0SNjn
IRFBDhkUwsio8aRoX/0YoZlKHqFan6qvE5RXui9zP3cJ6isIItJ8aJNWnAbhbED+VhPJp2yOloCj
sN9wfCDbg2Qsj9gqCguRhikANiqib1CVD2lOcKi3532Zu2exYH0fOuJ7njfbjvnLIMb0I0uAi8hp
kGWboxZNBUwKJ7FcJb1gfM3oRob5XtdzDcpxDPnOo1ZtP93RQfuozzgYWF/baXbbkcVNuj7EIzHQ
38WcVT2ncvT1ce3hlPM4JzX9JC1cXgqblmgFyCZy/D6MuhRHYlqfPGD+RMenvhN2v4nbcZ4QMFPs
DcDiAVSTVx1EVM1dOfRKb7lM0+oxAPkS5RtvhvXJ7n4GIRq818TnkDEsu1youNEPnUWPKauHqp8P
NIBX2x9BUYsPsqTjWBhSJngTTd3Hd+miL06u3F6SHwm0b13lSq4sKYZlJvGSdfsWPrayh2pStg8g
/j1rkNvoS2X5dGvGBRlXXldtlMctVOFCjui+ZsJz6j4mC2QPThX3Gue92AjSdAoCr3ZZoGnkzg1u
gbxbptGJPGF8LrpQL+NVt2Grf2bE+PWYiK6P4UxiIHkWpw2VBe2BxMwsjfejwmHkXWZY2dr7BdAp
NeYDH0R/29kyPMhwMUDdzU5vrJQdOUg42Gw4RpFyFGZPEfZ9v0bVueMjc89LX8br02iWOEdbek6+
hL70a176Oj0hXYORZQcWzYSpW2a2tj7VTkNYIwWvGoctzffdKZ1NMEPihTMkOVXIBz76QdCbClJK
Q8ZVO9u8jhNeQbNVJ9k0pS2/lr4KP1Kwf9q7BFtnuNpbu6u7OUrMI/GQeEUJRN1txWWyI3eKU/O4
RhpIcreJnINGfocWOsja8BOlUCMHk/cuGJl8mHxUHbqk5V02DJu7WbtePVQeCvpFh2Wcs23xeVKX
zSlNU3W78CpcV/HWfwnV2r5XtDd5Q/i7npnhA2vVqLKKaAvYydJ33ZxtpFHeZhWy3XAMsHcLJ74m
1QuPN33t2iBVgeXM82Ff9u04mpZdB8AX0w8+kuJ91XugForEjSI6lYNYfZ+VWLkSNPlQkx+NK4P7
wBjnIVubYZOAcsarD0Vz0QM492HbIZsiTRw0nHXn2SaoYxo6tUXF1zi6XuMUhGbQpz25NnVcqnsb
bdYdV/D8ycvO+4TnKqSru1lSzaovyFyH+cBcEiUn3egmvW23tYf/ajWufeZjbeQLXXpNHma6UH2A
TEMYIUlgeX2eolX1n6MaXsJtzkLDmoLYtnbZwhqkosotoslNjxzFZyWNKO2zwMLSfN8ko/Ptuk3r
/g2mVB7pUO1gIT5iQMQnprMWhKH2ABWdMrkysm/ad1uM2v8wjSkdjk4g7hSoaCpxni/wu8MshoQ+
gFTTshvgZ2lcxGpj6hyDNrX92oAfMDws1klN8qCqtb62s6WEZxAUkZhI7W3Sh3cojUWCKhiQzf3G
2t4iLtSj8PGdHrAl33coVv3njnXqnE6YSlA7ePE5trSLvgyYaaFM3iYGl0I0oescqwPJUlYuK6K7
NctWrENl5EcOTr97kR6x/ZO1s0ragok5wnlVjixa33O/t1uVRUkiaOZcaYZclbRP7u0ut/BrCrp/
/8M0YLMdZAurv6fQ15uC4ACbzCM8nlm3HcYV6q5XqomS6ZFjlyEiEmpmifBUbwLNwnoEff/UUlL7
E+3qjgxFuhukAFnPOa8gAz+h/kDG1855WPUlF4GNi/PvWmdM5a9UV3XmpbfRtB6nNnLqbK1aGN7Y
rrwp5qTf1i+dYuAi8bpT9ovz3bwedUWGKFfdEt80c1XyfMbs0d2Gtk0rvBLRgAxo0WXPjV5nJKUz
h5zMy7JDJRdCAHN5O1XJfOXLTT7NNAkO2QHbd/0Q+r7PDPw0M5DCqoXCX0y20zF4yUJewYJ0Oe/U
okCr1SIy6/wU6cwtztt3Ivai/nWFtYk87B0hdcH95VzNKguPiVOJNPu2gTQXVh2NB3pdtvA0vdFV
mD4qiYdQUOfSuM9Igynzi+33NkKWGkh0te1Y11fIA2Jx7XAEtF+9p80VSoBYfZ4gcS7qnKmKNE96
ZXUNSeh44M2SYZExmktE1YBqLgJxbhd13NzL1pM9N9jwH7qYDYe+bPiIrVYu1xNBB+MO/QrKHuW4
8e7ar0Z9QyfmE1IPl3BYqnBAwCd4xCRPY1KVX6Bn0TZFNSAoNq3p7pwjyMx2CIz4cy9knes9wHAE
CHpyaoSh/d3sqO3vTLnYm0Xrqf0Kz2b3Gs2dtcW2RHiN6SZeuiW9DHc6ibN9S/0LRy7himqfkasD
1+S2rPdiOIKsrHjWal8hNwBsYYXZndzQr0UktOjvuPbeA9APi0R56fSA+G1eOiRjWcKAQD+jla7s
LZ3lHD1SARAfQEFirNbzyqvK9XgpSyAWjO6ybQ4bobIVh1by5l01wxv+EIMoMP+6rUm35lGNztUX
yB3AQdYwadPDWCchwdJskvemQT1yFcbWZkmLAKqzdTFwsauSpf4u2WCTF+qXes3DYGNUOyLt1y1r
V9lHn5smLr/JS2pykhtY5h8C16+u612KdFfNMZLZIe2Wk4IniMwVN8PrxLBlMwnLjhy2ICQ99CqV
vzX/OrrjIQR5gL5lmaKUgan6cUuEF590FSnwjxtVojMYqQHKSFZDiqNAUjL4a8an6XvfbzRGnEvr
dnyBUptq88TUnp5al4YfKJ2r/cb0Sfk61P2uGCy5w5rcDrVP5w9RSTh7jWGZwX6gtKzRGWkrdqsm
0yF2kDrkSRXP/tGoUmhQjTBbSitekccm4hzdbKQe5IZ5CIoe1Wp4UmxuJ/Sw8tWuWT8s23toIsfp
R23U+i6KUvtRliL+gHG726+mEnyLUzShMN76YVsPPJUQ9N3bVX/EM+9uxrgDrI238MSGxkk6nada
qTlnehx8pqOy+wSm7pbNDDwZrVPPb8ymo0fB/XbH1V7L41RCYuTQs7BdzbCVuIp1T84pfIwR80Zq
X2pVsfCgqwns4XWF3k/G5qV07/0Cidcv0OBAcWaDT+tPaA1TkfE14Dkkvm0RFhSN6YSMQ4B/LIn7
UG8cSSJFK6GqkGW0LII8rNijwgAGzw5MVuibeDiew6dEmL25SjTRL5Bfb7unRE4ggW9wYHhqcCMZ
bdZYLznCdnA+M+iN0Qfd1SLNqcbtfJim0k/Hdi7bOk9Sof23C9b1PI39MNxsQuw9PqOL7FMXp75/
oJXwSNhCQ49S6mg6AUIp/Du0oscDwsQ4Hg1jrS2Seu1jwOXg3HqYPEEQgQ7MNd4F2hGlZpNGue0B
Wl5DcE82qts1H9kS99dRtA77FeTH9h8Rg21S1sMa8qbapw3bp5R4HJ0nh06lSz7Pzl/TKUbCWTfj
TdA1ewJ6eQZDAPqO6HNAqIGmovwU7YCTHyUYMuED+kzbioPIkviHk6ZKBDxwuh3tAdsvejyPmFA0
X+p9tkOONwXCu+xqZOaImP065PVcauiXQ7xI3UEiTYpcea6X8zalMwzq4ZsN79Jy5bLJIgbZw6NX
9LIJo3atKrgrzqiYEHy6ot2t8mcHUobKkmlzPbYx5l2vC87O8qyNI1WxQlGbAIk5JGn8MqXI0IrV
K1PnIl05uD6Oh+6l4VB6KQj05ptPPRoaaTaMS11/INuO6FFFEY+vuYgHlg8q6ZNiQjdszadxRWsr
Ay9vq4oWPC7ykOrZyHcwBGnWLEAFWh+WULIpC8meIoNROnbfIwNXhYyB6qHewctmFVd10F585/hS
/qNFgspvmY17kae96JLHvvIEoskaRUHd2GF4CiDwd8ektWQIGQPZfkUDsx73CoW6Q8sBi3pDUghf
83KGGbWy5V09kWY/xynZxjul0afNuKYeeum6Nq+E0aa+T/ZyBBSkJN14WuQaJY+gqAmOPWXo7jH/
GYM+wr/RmyPARXrIMVVhy7fRDzaCQeLu5Dnq0U75RPrh8oY4Cp8iNkq34P2hABvuF/QPuxz8CmeX
DJpDcXJDeMJQXDIXjacGOIv1m0+CskXJeemuPOK1LwzTujv0lMq5SOBI47psNkOoj6gGe3VTppBf
A/iyv9iDwS1tKtq6Udt16YiQOXgilWIFlBgINlRTDphnYxQ6Vdd83eiOnMXp9IQmwYRp/YzcLkMf
Nu4ycPP2tpixDPpjui3x/Coa1vURaoc4dRRO9BAx+VV3Qw8+V4cJmcNhOiBPTPOoN+qKJzoJ27mL
JZUv0Iwe3K1Hab9pfPEmbVPkIBudHpho+u1jhG+joqyOHZ2W40XNGgXpKvc1vV8uFfRNGU3dhuQL
eFkITIWyqh7CEFsUK2ahHBs87dCzEjlmLQzVKrGDGr83AdU14FRBDOTVuDWakQwIhoJpcqDbrnCr
mcy1VdMiHxiCR4VUUbb7j67GNOJL2/qpO6ZVOkYeT1fTEWbJ3DTvUqT72MuJEik7aqRG82utU+Zl
5mIFtWYv0kU+x+jPNbB/Qf/ffVMmXboXHS1T9DhVGPi8Wy+FKhQLguyTXKwzdI1Bm9OmP9cD5l5Y
JKmmRyNQ+PADfBSX+Qak1Ir5fMcMaUKl2xjRiIIw7uSN15gk3SK7lvwWaVFq349925lrUVE/naMF
ZuZfKCElyfklZzsu0xAtWS8SH91OBAJP76LFLg1iHGToc4XMeDyEZZDmvrEORJeBEbE+7z1QZLkk
FkOehvYjJGZMFbnvkltdPlNvEfxH+Bu0634d7fDXRsoKXcP+7HVFA/IpeFDnsdjccgrTqOjJoMvu
r/qO7+QFXUXGrpsOk8BckwEAgAOom8TIAmtzR2/r0lGLjrNJkiWnfGijDHvujmsbUswaGeQxjiQG
tHo+NlGMeQ8fMeIJWQ+LNZmFedOsMLVg6clti9pPOt0iMkLSLfGLQk+vglfatKi4vWWxsfaFWaiq
v4oqXYZbJLaNOPasXtR77zGaKfpKthXYiQCnPjbj2PObsurH7r2XeDA3IZGdvSYLLHXuVtxrAsvx
sLPHdhFDdb21RnUfUOg15ZqTBdnyXLSTHNC2TqHR1pB8wWbWUQ7tDx50gTmgkOrYARp8kTAWn6Fg
SGycKwUBzOEwYBRklzMSMIMH60SrzSPO6RGNZ4BxMEpD7qbCe4rHDnKVYnW3f8D0pNyOK3byUe27
uEURzaObJCoVEjtOoF6XXMZ4MrkiLef6qmvFzG73fgLJNU7C5D77ZlEQregWSIccXaW3UGex50xg
xpkAdEVmK9eco7FhvwwrJOsfJ8gu2OR4kXqN0dPYGNzXpdnV2uZq8L4rwmAujnLO8ntmynQ8pyCX
+9M86oUW1Rr0eJtY6NSgRUowb52CEcuxQRM/ziIbx9ERM0rXFL2sFMpOPVuNDIkODf26Cdi835R7
1W5PkGRIHXrvdWn2H3RktPqmu4n0Z0JBdTwTdH3nOxC0jXvuIUmN3GZk6XYbp5ENv4aZtfo2hCqy
aPBticx3hXQkQ395wWylsRZgv9mldwsZrM9dgHHo2eAW2mLZk6TLgY3nmJmn6QXRuMqjApj0vl/h
DPyB+K6yd8bt8XgtYHu3X962KMF1UC7Aut2KtP2GNl9Ei5bJSFuItaKeye2I1T4ckFl3OCARSC9l
vjfaP6jIrDQPURQbbBY5G9AlNLs8QaXRrkImYZh6sGLtIzC7G9H8WC7n4w+xgKkOeQNWnedJhTgj
iHf9e2pM4rD3KjbMLtPSguiPFhOMokRNGlLQhEWA19BqLu+TWjh/RBiFFuLaj8366tpNb7fTLgb2
0WwLT1G8zO1yHYLYt49SDHp9uGg40pMdljIbIHYzZ8hGq0uzXG8rzlwMMB9lCEpc2xpMg3sMSgZo
MCA33tHamjt0rRiMK1PmvoK4OssMxKLEHzauO3TtzFw/ASYRIyNaYcr81ALZiHMRHhvQblSrLNWL
0EQB3DsSzLPWq7E08+SyBny/NJskcAQ0x+zbLK9oJFVo3qJhQ9xXdCv2Jsq4Q/raZgxR1qGH2E9g
e2QQqUfdedxAD4U50LilvP4MhnVYTLZ4mNjMV8PqWNPmfoZ+OPJQwjcWF4bWgHIU/2aNgzxvxOQV
JlXU5QSIIJtF0s1lDqFk+oHit6Ob1deVPqv60vutUH5v+hIz0/JhSqw5oFuwL8C1RmV0/rdy2cgW
bNqfINS9bQXh7bRke6jZAwZW41LwEuTvn0MwvVUW4iEdh2m0/YGoT236zNefwzO/FRRiPV0xrsF1
afMk0bRo2E9SaN7KCU0QPFRlI8QRxyRBE0mt5M4iWts/4fD+gWAVRga/R/qgFZY4INIwmYiw/+Z6
atzN4KMJMoLWaDSckrWFLYBQc/K4WbRuUWC1EcmnaMN7+tcQqguq6J+hjd4AyyqMaLYmMuI4wc20
LxrwCO4AHpxz5GsYP2IWJ8//+pP+CEz1BgtqZoulBkzxEYIAs3jvwlQuha6Q5xYeJxPUSaFI0iMr
3cL4J0/4D0CWb9WJWuDDcJok7MglPDkcZGcOM3rNf/KF/ujqb9BnGo5+VtSKATkyfOtM/OKlLn+O
OkLewEORps+Drkp2DLD9yGoTzs3S05+8+BuEmYtjN04LZ0f0oA8YpDZZGaPz+K9f8x89lTfw0HJb
G8dUw48ViSzO9LXM4hqn/89d/fKp/wCOSzpNgQ7Cc0n2Adq8TsFlcp/e/+uL/8EKJfT3F+cmHrze
WiyXWqjkh0VPyeeEhwS+QjIZdKYXoLFP4JUw/VP2fPStIkwtKy8gI8SOsENlH9PZ2Ps2Rnv1X3+h
34LrP9ndb/VgRBso2kJVehykqtGBVmPwGK7gn9cQO/6SIvPG/xnTeORXjW6f2715jrHS2Km0zVKj
VqnqA9wZf2wrhXVz5gRSsv++u3//vv1H9To9/vd92P/6T/z5+6RR7Fe1e/PH/3qeBvz7n5ff+X9/
5/e/8V9Xr9P91+HVvv1Lv/sdXPfvn1t8dV9/94cD8nIX3i2vJjy92qV3v10fd3j5m//bH/7l9ber
PAf9+rdfvv4YmrFA0WOa7+6Xv//o/ONvv9CEXxjA//6Pn/D3H1++wt9+ef46NP1f7r/+WP7Jr71+
te5vv0jyV1CioIOQKCaVTC+MEf96+Yngf01ikijOQRhj6jcxgBHGp/XffonpX+Fppgj4QYqLBBCV
X/5ip+XyI/lXIliC30pTsPihnMR/+b+397tX9D+v7C/jMjxOzejs3365EOP+Z0GJVCgKnWj8h+HT
EpK8OTbMTOXCgbs8NJV+jEsgK7to/jKktMrN7rLIddep3fYT0Ht/ZibCf+Mk/OOHg/4kOFOAN0kc
mviiv9+nWxST1gvdI3ZF+6l0/AI3QT/YbHbLMPwDMqBvk9vGrvXVoklz66aYfB8xgTtgqF8Ph9ql
9qI2s2/3kMu2GYbU7GY0GFUb1tDr2agRIzqr7iiAcMViwjphIrNX4VQSXZRGC5TshHUY0Mkmnzl/
pjVV6J0nuCDGAjrbNx8/AJXck2Lh9q5qBnSPm87lE7rLx55TjORZb+k9FG2i5xgF0v9h78x2JDe2
LPtDTcE4G1/ppM8xz/lCRGZkcp5J4/D1tTwkdEtxb0m4QL0U0E+SUhnhTrrT7Ng+e6+z+HCJ1rtu
iY2zIXvt0V2teePI2ru5eFB81zWtqzgXoPY0bXnK0tai/Yi/X8+woSSFg5liEfbJy5W3s9N0Pqy0
mc3N3Gm4eQ030XLQ/61xvmgeHFi0dJwOWmvX5qmNtLbZMQEpYnAIK2qnRQ5OpmSR32RkZeYmR765
h/aFPw4tZUj8y3BvHAHLflFZfx7iTtvTaEvKu9KM1c8SN9ZbZfV95ovLjLaNWAlQYw+apteJ8Rjo
SXIqHxC5XzhcwhuPaH96xnCSlXXyqqrZx1nHQKdOpjumpXxzRoE0Ol5GGBbjjECGPGH4eZ6N6cnJ
OMvu13Ker8emXfmw8vyk5FwyANaBsCNjSYerlfW5MlzjkBRzuTdVMj3G9K53XjTFsKzGddv3TIxe
Rz5uHMDivagcETpV00cbiPDzLtcuk2rb6ezlabzNm665MrV8VxsA+Hwb5ylw417u9aHPQo8nx6bb
MOrnJZ2Y2lXapcthAXTZttEKPn5cSVvUUOsQ493wK83wtsoy8NcMY//ixLp84XgvrtAK+U7H6MV6
a9I+5Hs+xCTEW7xNV+bSeY/KqVNMJ+NwIZwSSxZzH9il19h+3CZosYvsH10DXpRP9il/kHHv6YGy
HVuvaUhrJHHyusVy0vfp9C2TNLC3DbYHwS0WJCMI1qc8LfqEwGqtlx2XCLRFfipN12tZueb3yoqG
e2FWUJtcTH60rOTyMJmR+3ONje7BnXrvaRh6o/UxmmjfstSYz+lYWo9Qa4QezPXcutdMkPXKsJpV
3QWRsqNpq2tM9sGUlXEYEhjTLuDuuD4McOa/N8tMt1JlhnHOOqC136Tsl93q0nL1bGxYPNcOfPy5
K26nMsuDNh6Lxz417H1Vtwc2dXsviwk0KL3YspunbV6Z5q+4dpuPdO6z/UKK+arNx+Swkn8N9Kjh
tBa3prp2qMVOwk4bHupZH56cyfB+ZJEZHbTaWQPNLrRN1U8TTfi+tPe5aGFBpGBDr1a9S8LFrLoX
EjltWIyTfo2l2n6PVlVtR4ypvwxH18Opmqr7SlPyoZ48/R0NwrnVx3XcRQkH4GWW/RNdFdiJqhfn
AbbCK9699rnOTPMJWcg6JD3if4OJNQrsXOXTZhzzaddwPkKeYSB6v0lxwnY/itSo4lNidsyoKrNC
Wk9GDf4ytPnJ126NdlG2JL+iyHTcvbWIcWXAql2vezTCFSI27vmwdmoaIAlanmevqGDZ2M0C33jL
2BV7XhyfUcleF8z40975ps2LX0XJwoLkeugDWspqTH+lizcYaKNsS59oqQLTHMsQxcv1zkOzlMcV
Nny/bS14I77UDHmIWql/s+lO347dqg6tcKOX3jS6KMg0NWlYYKZUI8TNLPWTSgk/0I8oXD8aPJpM
iz09jxnmp0NkdCBS2ixf7y4Zkn6jm4kKozid3yu0ieuhS3rjmFA2hUpb3pYJI2KwxNwY7CnaQ4Ul
5WcbLbR91joJJ9fA3C7GEWP6opahDZylrF758pNhKFfk2M205J65y6Ohzuidt4vA5kmcAHdci1Y+
DiASgL42+tvcKDNQQ5LrxBQFwp0ztsObVk10iF3yKC+l1YjXNo3Tz3EOP9JxMOhJrV7gDWu3FUXc
30yz4330JqMfRTt72c60B4EX11mjdVOQVtkt8azsDX8tPbVDi/EhblzzMVqIciEO8ND7NbrYfsk6
3kCZrzjGy2SdImrHDDkozjMmF+R93jSsmRbrBc1sGHV1vlQDbnR7LDeGY2JDkjka1a6EKMSkg8u+
I5ks8szWEyF80ecbN/WsmqecsRenvMvIU2hRRaZMDjhsi/ncNhEbXnwxQ4nWHY6qVvgzisTUhk1Z
l9VtG/XjBsueODda7hLTW+xbrGhJEnqla2KOVM61Tk91E4N0O5dLN7Garsmp9Nppx1x2HCYuQdZq
Ix0mrKGFmcm9pns6cQqx9jQ41CQuD7pGkTB0RhgLT35kqJPxBiwfAwuwH/e/ukXIm3XN6bmKYda2
PWMHcPXRWXgtLeZqSFEPd1oOMn1w5ttk0r37NZ/iZx27kV8bi7uJOkGHt0lgwCOU2IRGvO7cMzwZ
Sa7nsTUczXoq6lb9UEua88yg+PuGiMmugMLEoEFjXvgAMboruSZ4Iqqw6BQb8tj2O0vUDRWEkTyq
OZuu1Yo9mYE0bX6Nx1+/JWBkXluzjhGT00h6P2PK8BdrECeiCOFaQhhXdXE/aonytXrVN9RkW5xW
VUAB+8NSBNQnp7vJl1ggOUY0dbKG1+MHSVXgNTsO9VTv1pzJT1jaky3NDIxsMqvk7QR9JsMLqZtl
kBuWAT/RaerTJQP/yi6HGb3mS0UdRCH0q1TJer30zVwc8HWu9w5eO8JAJh0kn6iRiA8E5q3ON3JL
+Cmy3c9xWeWwo8c0/Bglp+htOSiVwElrmr2rDHHOi0oZyKFF2myYg7tgNVd21ZOtKaPpUKUOlnzE
Naq1vByrB8ta2lO/DOu4UYVFSMKN6VxumzEdXwa7N16Q7orQjeVKAotSBfe+A1UR2wR96zBrhfNj
bXL3zuqi6VlfKSk3ZHzyYywhIWwGg+or7HpRP7Vx2c+hDreZ2Akx0VsE7PU6Fx2T5yvXesxQ5/cC
Lw3tc0e+zj3cp83Mya0OaPvMzSGaiT3xph3eCQaSkeyAV+DZa3HE//RyjI9btRqlyY6eLQ82bv7E
p2I3rE21ZMLei7nuzkymS+CRxHV9TrKy+TW4MS8T06xTl8/FYl0F/ldsdMdiEUvVZPfnrp2K6aYq
LQdrVKwBpChKBsGEVgw88iYWs6yCLNb51Jtl5QZluZcWQU5BbG9t9OoH1UWddhwjNxY0jwxDHT2n
RR3X9Zyioy6846jcQlL2iJkK2IkEfTUrPzY41HqqNUM+NutkvKBDOy881Jk6YuE0T6WOSX9l0SFI
wFLxtDSRqk40wJIWF9XUTn4+kwcKZOp1lKyk0E9rVWjvUqM1H0SXjr/vCsqocDKqPt3gCOrVdhDO
2G34TLzuiG0weikKRb5gKVR6XhPwHAebxM2hqLtxm3St9lPoWXTMIx2DtWBXOSzzxFJcyyR7NSdL
JJwStOGFT7u5svQ1oxFYmsPBZjHnSF4Yp9WKSd1DtjmXhGbSDe1ekhVcerjwJkZ8ytZ8jbOrSAI3
iaMeM3+/ILR5DDoaSOlgMf/TyfWPo+Gfj4Jf5EuXucuGJ3THBZ9iEwz4ytypjHEYi5QmRqTTOamH
+Dvc34dWb15Nr3wg68XGik4WUGR+62kH/kfh0t9f3hFCMp9JF3Bpv0hCedQbZT5pQ9hFPaOqSLCf
ufnFPwAQP0+0fzl0cpWecTlxCl6HaM9fD51LvypjWmEfqHjgTKjGJt64mqnJvZUQPdrkqgE+ZXhV
8lGxPRk4cVr8rIyBml51ehGHRavGs9OUwz3REe/qcss2Dozga21qllfD4KCQMpu42ozsi8Mt6n/9
B/vsf1ppuUp/dHVf/xq+Si1/UWf+F+kxrD8XSvd/r8ecfnbvxfuftZg/fuR3LcZ1f+N0i96hs1BL
rC3IIX9oMdZvEs+CFI7OAAvrL1qM8ZsrpO56HJxxhrB0/EmLMSxb6Pw+g9/lohb9J1qM8TnX88/f
TdfzOLLZCDHCcpDQvzwCONm1Kc/1PLxQY5zPBWEksZtuEsShc5VR/kRiNE6UZPVeXNaTuuxyWAwc
Fa+Sy3pjfS49JBKyV4cgmL0RoqoP+PNZpjyZS5f2xFBtY/q0NzSeWNaU4zCZt7Pb+oe12uOp/1wC
x8/lcCRop7Yxk6sJpqycw8NBAxlGTqfJ5iCzBMTS8hJKaWxMllIBxaYwzLrJHwqT5XhR81ydpssq
LT4X7OqydturiE5r33bjUV7W9vayykOCkY9YZqebeh0atvZL0QYaPz4qXTq4WvOkp7XM4JQjM9HW
654TFl5QTaSDr6zKUkfODokIp89dx7lsQKKaRnubf+5L9PnYo/LP/WrC91AFFrHG6CZxaZeENvMr
iK1+7nX9577nqNLtz8bnfmhEFntj87lPJp975vi5f6aXrZTQXX02RoDdoQC9ea4/d9066U1Whd93
48vGPH3u0dHnfj0MczFsGH+WeQGTOnFB0QDOf+SUZM1h+dz7l886ABsk1VPaZzf5pUzgk7EehczU
nv1puY7qxbs1PiuL1Mu6OcS4Vj8ZnLwu/kYGGTOzqWM75TQXbyzVzc/iUrLkl+KF3dtMw/GzpsFB
ya1BX6HCmDKnCMdLAdReSiH5WRVNnxWSFKUYN2iS7Sn7LKGSS8M4I0JABTDo2nSw5ot4F5U0dxPJ
KwT2IBSnwNE07zOStHvop+ldX1pD7StoIj90kRAzIStE3ZyjKl1nhUpOHuHAIMbg+9Oqkj72o9Wm
SI+UN3MLohXzvNKyJWjt1IgCZiLp/D3d+da6ozn6JfaKfDPRwKfW5IRlbSdhrPZ+mbU1wtadRhch
z1rVZeXHdAH+rsPb7vTHXq5zHliNJK3Tyia1fdF04y9HX2e4B6tdRRgMG9TBsskn5RuyHbeRbsls
i2wS3ZUcDn2jWXJ0iJkL86fE63R/wV6WYvcdunNbOPnHmGKIPsiS7h9g6rELnCKrK4fDWiKJmzB1
7MHzSJz3jOCk8UySgmCF31td9tysHoQngn7V2E1oo8LxUDEMTGlkdffFwnSovehF9kz0WeysallD
F/72GSMJ5pUER0c7G1HL5jS509XiVYN+p3dp/dxNJq3y3tzrtprGjQfSPjtaXlk9xEkWDkW/KMaO
6j3x4Y5vCg1xGxVPcuIaZCUmXsBkupaItLTBMl6uZ0PpytvkJA7HI7n7fHm2LZzWm3ZZlIh9k+Np
vlUEGDsa+CpDqUTfSb+jXib301g53/NiapsA91mbHKaFhOBNSpiJcYs8MuPWsxtHBJOMZw3NAlKg
PODEHVdKaM4JV5qmZc/DgjXVb83BHrfjbC0TTfzEGN29Niws85d6l5NsjDFpS13YvtdUiRUDDwDI
5cFMVsAXPEkb3FkMzbBtrtb/P3bjXQrwsQ3zcm5ue0MNmH2b/PcG+P/f3P+h2eJ6wjQuUyD/++19
R8ihe/9Li+b//tQfO7z1m+U6zPJwOLIa4rMX//sO78jfdA8GCj0Og2rsE/r4R7fFsH5zdSB1v7da
dNv5f90WQ/ym63whmK9mGDp6gfWf7PCX/fvP+7vgFSQ1Nq2dS8XwFRfsGaly+mJ2w8G+RAfXdVle
EsOZ/6EJ+VcPgGshXTgWKrjjuY7BdX3p0PcOBpAprhzM7rn6poQmt6gKcUcmNVe7GFPO7k+fwr87
Olxa5H+9MEmnjBqejhWW9K8kfA9fE9GhyAldffaQP0o4Nxt0Bjz0qMtVQLYwfZCjmwFfkffjJPCF
0tJfv1WLqe9E62VHAmHmUW+VETIuNTt6SzFdoZuuZ33Om3+giuqX5vXX98tHbtm27QlXfAVlZ66W
L9MM5IIRcuXHpJZ805PIxcaLQoUCGUnUAjz+firrj64W68c4y+l5iZmEaJOX/BWjxz5VmLOJMa/1
r7+/nca/fk8oTqFsuTpGCgofvo9/7o5jFBFN5i1OOGJ8ukpXPZ83KR2ewO2n5LRks4s5UkdfKQZz
DoUm4v1AzyrkPcv9JZX7YixxebPMyUnXm4NItLs5JvPjRwr5xOcYnr+ZliN3itLmtqiN+vsY6/mO
zkhz//fX8skh/HqrJU0tyXppSf7512uR6YqfajTtsBkL9Cy7k+iVsD+CGQ7acepA7G9KU9ihVvfT
R+VMdUSqo2J6aFUO9h4FVLsb53l4cyxlaj5jLc5lrtmvs57T7LGv3A4UR+WmauMWWnxDBlsdBqb5
hl2cvTV2y0E8sl89ezCvB8KeVXWJtzJDsVmc8pB3BbJiWbVnnFRr4wO5pQ9kkLzZJiXbcua6Ll53
iekLU9xV14jkQzodbTx9NJsTydv1aiBYH/sJq9GpK8W0+JmheUNQE+J//ft7+fngfrmXrjBtjie6
qZuYvv56LwmqkpLoFzvUI7O8qfG0k56bxFkaBAxM/ZeWTfMNciY6I8lPLA5jR4fEaYvuOxb+4Qq4
ryrRbw0XhkZRBK7WosxVFZF9LTKb25rs+V6pPp5PcVMuHx79jYexiUCwFLP2qjMn/NysRKQ2RZMi
LcZiPst8zLbD6Ih/+OJ8Gr7+5WLdy5ZA09zmUfhysVI0DGblIeiJ/l3HpYGBkFtrHRqW9VuNHMKW
IScGnpeCdmsr45PZ2BTTmJ2bvY7n+Qm37/Kzm2Lx4+8/h3+zvsrLIst5z3GI0H+xxhQxBKLCnuwQ
dhNh+K7+BU39YA35TMZK/UfU+s/FHEmEhj9eAEmq7YteUbM/THK5hKgXJgYIoBiXpzj7B0bbv1kQ
//IqX57SQmap018SRLmZpj8FqsJ5GSs6axZza7Z/f/u+eg64cxfLgXfZUSX0ly+3j68ksrLR2iE+
XeNkauX6sTqtc0bcE/fG3LPsMmndq33M7dUtE+m74O/fwL9ZXjnMW55LJNhGUfh6S7XJbtrEtqGZ
u+pZn1roFdHq/sMubFx+zZ+/wIhoFA62LVnCDfI+X7wVjC7T5VJkTqjs7r7pjRj80sLIT3U3Y6Lx
0pu5MjeQmD5AZGzGpNBuVr2I6E/UNOFMUhDeOPZQFqz6Di/+tHPjAbPBfN8bDVECwt5hk8YkR+lw
4ns3Ft/01g5OePszo6n097fs6/fDltK2sKS4zPu81FVfLFWrtebt6HRu2LLtbCLClr6zqDhYnVr7
h0/nX24blpbLxqc7FDC6/XX0TbJGwCRQrEO3cOJjtOTa3hWrOsVdVWzNPhr33GrvH16UUvDrU+0I
m0qAcomVFYfN149rMgbbKPUpClH6Hu00r0Mzlh3Wgnl6JdBL01yf+3vClgcSzG+uV9HrnBbjPYth
9QwiOVH7+IuLxGJGzm3f0F1mcWuZqMiAYPBbPgyZt8jo32ql71Ix1T5oBdwXZUTjouBM7E7zgWav
5XduD+IDUYCEJ62sdEnIc9OUBva2iG2nR/aVrKM5QMQ/N4ZWbN15wngR0dwym/JubBPPr9q44QG6
X1yOw4qdzpIPWOjHm9V5t5r1o6IrdlOtpR1Uth2/9rU23mhtZmynrI+DaM10v4QQ5ne9m+0KksK0
hNoie1tWjXb/mDIC0Zt79WEUXrezEuR53N2m9TanBgZ4UT42jbrt5I6eOInkWP8RpQQIbPJWPvyi
8huHqnRFJrKhu7d5Hlap1+znwqbhuHTltUVL91afnWgkOAuGGP4Be243Gj+Jy8urEnVmm+qxHkQc
Z/F26ArQ2+S4ZRCxS33LkYfCtGdqHbmiTVM4D3aT1sHQEgdgfMFoIcdDBzjhybbuokS1GzddwtkU
oVfP+5rUGUQTE6/QI/F7+vVWAD/J+7VM5jmfxsdWjT8zqsvn1CBNZK4ENiB/vJRJe+zLud/246Cu
IoNAd5tl5p3KCQb7S1OX/K4CNyXzsUh2tneltz7P8SivVO4SYWk4DydjDCgll7Oz0UnR3XR4mnY6
wxZuBwYlgH/hYxs7iQ09SuJfUg3ejm52zwwM2dz1hdRfq7YpXqbU3FUZpLRtms3ytq7Lhr5lgUV9
jkVC4M9oF8BmitRjvA53ZrSMoPpA47Xk+B4Jlze7hvlW11rTxnvoa9p9TqF1PWbgXzP0ywAMmssr
O811tGpjmE+zCEdL6u9apHcHPAX2tYH3OUj49PbIUcNdMhbfIa0t37PLFU44inZdpG5FbO3W+hEi
mY6OudzQjb+KNLffZZjDDrWe1z9AuSePZNR1DvQM/uA0Tn60zfWj5hZrMNBzD1ZvLXzygTZ50ym5
ztt6DUSz6BsCJdUv0k3zVlPWciybrrypbPkzae23Clu/h72B/K7f4Vd+cUEW7q140nwCCQU13Uxb
sk/Wg5wyovJd/NI1/UsDbi/zBxJF34taH55jmTt7+tDlzjOXOqTTbWw4+dBCKzviSV7n7LOO8G+n
yTi0MUJsdOFUz1ZXaVcp7ypgqBF/Oa/uWWHnfQtv5kBmDv6aU8U7MtrnqFc/TTs+kZTDjpF5GEsr
Yc6bLE34C1qcPKgZ/oCalbbNUblvop5sIYFy+WCOy/de2vV90U3ODWGzxucZXAOL9O+hKO3btRHm
3ZiUfCYGecYA58l4tEjh8VANyTbxJswnHnYPo27ObkbXNTcdJK0lgdkRrcnTYCY1f9asJyEgBNo1
rJaFcaZbuvkLG0RL4FlPsvcezvoZO8d0na5RcWcv9XRF0KEMNSKtQVJkO9tK3zCf9duYRn5gaUXL
utoFGOFUMDOE+brG4uMv2mz8oNtJ/EHClm6JSAQpBK5bQysJskcc7ZytWVrPZtSCAjHxoIVJUgW6
m99ogxjv42g56aXajCYggDx7jPK84oqb/A7flb4pltT4EOtcwFXIqPQl3aJd1hsusMK1ymD0Ozcd
ynAA2m/dt7P5oEfzxq4swx/HCEQGOKRqhbVPJuo7yIJTottBYeV00yyIIZWydlPjwCXRxEOdNwGW
GnVV2SqCaFVnLWGTpn8d1lIPmnaqom8xxzPlJ/Tft0sGNMpv1u406EO8oe0L9SuPr8eVFvZgTPqG
TP5K9JBEpa8hsG+I9Veab/eVtXU8C4LDFB0pO+pdTf/0VJuautX0lHSdqKpzwgwF8v59fW857R3O
lQXWvqe9p1ZXA8USjN2K3PQ5qqQVDuTIz2nUXdLmjHztAYdcV7Trdt4s113iNMk7XEvmiUgx+q7D
ztkZS8tz0Xh7RXpv0wwZx8FiQeuM6/KAH5xWLDicIO9ycVVMzbgdWhbvLO3uOv0XuXSz8h1t6R/l
4ALd1JMG9btY7p04lycylsvJXd3sJCxzCUkMRy/V6i2vMHcujsVCvyf+3e6IfbEXkqbaWd2QfkPs
XTeNBZxHtdIFhSDEIU08RoaaMdttssDnzZNgJkl4i7IzhIKrPUNEsU+D6u1zZAItSSIlHg2RpHdF
OlzG6U3ybAHdJCGTxVfEZ/m33lPXrZt9gKrIHhO7FJuLELznKxoyE+i7LO1kWxXUi77bXVYXAHjE
dQua6eHqOsuBxEVoat2xGW9skYZl71Q3UwG2gpCeHDZ640ShNkr3ymyd+n5YU/uD4dDlq2tU9gYo
wvNCoDioE+TXqh3Uzr4APvwB9NxOWLhkNcspj0PeOqxhFih7OqIQg5hq6mpd+wAuDCfGjP9Q4e+y
k0Nrus1WkHjzCxIHwWqVfPGjodOaYK4c65DFwCYrKV6kNbi3kp/3x1nT7ipoYFdr2n44vaGHjEZB
Y4WXVD0Aj7qGjbV3e+sXEc9jzMSBW0g5DmKsyoN4SrKDMrnPMYHlDahJqLCuddXHDX3cCOxUF227
qJwaBAKomwrrz80EpPYG02L8xBHTufAUU31LvhFvlNur7toyvejZ7Vz9viwHcWUMU3M043i+mue5
/+iJT2K5aJPkcSKEfqsJy/4J38z7IdOkOuZpmoVGws/pEYT+zqlQ+1OKvm1kZyaA2tlc3g2vd8+l
6hekZkYih53nVvdN5VaHpM3UzwLj1uhnptacYqIVu75uzMZ39RR6RURNkuGnlEFts18r5J+a7ga4
SNxlFlvl2EaPVqOPfPhk4f1+ghy6QHMsqDNbp7m0VVbMM0bxXNve/NqBa4Dd1RdDhzspiaIwG80E
Nb/OvGsyxgDDcm0KTA5D+E0jzX7DKome10TFm4NwvvNs7MpgHsGDTFPpXXlF2/DmBWFM6pkMIEej
teBiW229mfGuUDKB0btplqS/ylR2j4Plu+VmL5hGcVAART12cRTvx3F9JUXJA72WsIKSvNuPdDdD
4HkV1iK2G2G4sIW9bm0vEhHBwRLeWVPI8WyYnQ5IeUy2LoHFY6mBcIEUGJFOTKZtVJKpBP+2ZXcl
4GpiM/NJmmYnbU6b52peT2P0Ab/gXk7GIyTed51ug1zib3bevyaGZe3LWCvvWlAO+15UcAtE6WJJ
kPkQFHVaBrXQAU/VK32Zkl5R4DIvaV8WGhg0tzCok6QNlsDuhgetzzGg1tLsfasxxuu8SmPLv+AR
30FDYz3nLYxY4Oz4rvDmh2guzT0D06s30Cdr7XeTMPdIS9NPlQEOWfEa7pa5Bq3ZNO4ecl8MkJFt
74NQtEJ81SM/tpwIIJTZ7HiSZbsZuvpOxtm0V0KP36p60P1OH2UIixc0dewdzSpv7pwcwQW2M9ll
RY/3gCl6egZEy6YjpTJbP43tZuPUK2dWGq8LYWQn/cXPXExq5doE7aI5bKxOl1iblQ7uMZ8uPZUM
L6MLzTUJLaTWsDO88qysRLP91IH6XWSJu8s8MbDkWrUJX88AgtR78kGbXQ4MLqLhE87E+o0Duzgh
UdQ7QG0eD/fo7bRYAxERYQDNpo2ibQW8I123szmId55hA7/uFO3zUa63mhJjiG8VNMs8dvXBrKR2
JRKT6d9iBmJUwPC46Sg+6AjnNIRh5O/GSKZByrCkUxnLJ1AQR6Ps6+/AJNMd0I7kgXZk/bDaEEXG
htxKCqSAQ53n3GFDEd8Su/Dux9wwrgxXRD6/Mv5xWQq/lXGdPIxT2dr8Ya6fusw2fGKB3hPRnOHR
zb3cC8Yh/cHCUlwnapqfJrGkWZC6eb3VwVt9w2jbcg1Jvk/o3p6LIY2v9TWGQ9Ax9brOGvPQEGG+
TvXLPGPNiF/SZoxuGsDLPEBoLxMwklNJwfZSAglfgTF7xY6aBztoqywtlCU911a5IGZRGdIblEH1
nFsog7TeymNN19Dzwc33d6JPXOSUtVv2FfXaySkG5+ektxjG1wwOvclX9Q4Ow1IlvjYZxsEmlkvR
x2lyn3eIsn6VMhm2zWS1T6ope+n7sntrsRjooSloHDCPeRVeQHGePY0689YMueihxbALME1lycFG
xqU4t4lKrjVHVKEOSWavog6ro6lDhFuS7pZtMtvC/QA9zkaMY3mRy7OmV9WTlmrYKArJiJ5mjTgc
VsN17s53bkSI2ZdMG9k3XIJGQrqpfvGflrOZrILSMl8k83c8raXXMcfSvteSOA3gaVOFRDgYN+CI
+yd90BFMhaC+43+3P4ommkOFFelGV3hQfY2C5xq/nHqHeZC9QXKrOnxY9nDhsVhTem8mybArWpNi
93dwRA3uA2Pecs+FIqE33axxqCrNHZv6sptdp9znpibM5zKK+l/KyAqO1iiH1dGwSgfGz4iL+uQt
QGL8NdLdJSiWvJsu40817UZ8Eij0BdJqONv261iStwD8at4Xq+ntUy1tF79U9SB9Kvys5mm3Gxly
zpxuhnaie9uusMn9KE+9ZFtWpJeHGuCm7a6yCeFqLsb5D3ZFatOoknW2kr9otcNMlIXkqtc/pcom
NqCB2Ztal3OaJudfa+NhU+DsPR1XrS6/28DZtn0D2XKzsMOSfp+UeS7dcn0xSK78ItbpXInV1j64
9PZtjCamKDMmZTiyFbIM/JmKATxpue5rRza+JEN7QR6KM2pYzHquSkYkK7NIgxbc001KbOgaxkb2
7Xdwhju18nsGBw11nYX7pcWElIfSnE7ZkEiGa+AQJNAwOc0byL46KBoreqWlxHOlipSDXlo/VCqS
56iz43yrSfN7YSBAXegb1mDRPEHP3F0QHDnmA242EphfrVp8ny5u8TiP87A1RROfIKnqNzD8NISP
bsQdPKqq3y7VOhyWsjXCRku7ISyNmgRD5qh9xvb1DNUzGljhEyfz8VP0x27N8veacimcpnrY86jG
p1aO+i2MHQ2vSD5gkJ8hS2ibYR4wes/zEpFYcRlsY81qvcp0nYMBp+Hvht3KA+pqfDLU/LPX1c+u
154ERwC/yGB5m7o7B7JmBLk1sYTWdjU+d00cH+EMe2e4fulPYrkQKoC0/Rd3Z9IbOdJu579ieG02
GEEySG6TzEmpIZUaStKGUElVwXmef/19su7n624DNnABe2FvGgV0lYZMZsQ7nPOcBaa6z81QUFhf
XQQkBDS2uCJFki5Y59r4BTgJ2TK7td+ddKbu6/otyo2tpt6/zLEdE2QoR/iX65jQ2ivWmQvqj8Xe
1AKoAhBydMpLRAu+vjptSzZBtkK9MuqSlAIPH/UcuecRpsldzxns8GtFYdJjW9/4mTWcRiT4x3ay
wQs0y7vJV1EbAHx2SGNCHnK/zHCutTeH7bJ+eANzOL33C/vdbb3pAVm89YZdnN+ca3jDfLE/suOq
tkyXrFdup8A24gZOTrQ494aYp4BaBlFznnnhlZkSl0VzggIHd7Vv6u8lnxm3FQN8sJpe15jxIFnN
1EdBVCK3qbCp8hIK59hR0upNzWWFamvmSu4zOe9Vuxr7yuzysGgVKQB6kPV9J41yZ9otGRWuRCPO
SSeeaoAsX4wyrmKm1MM5YqRY1kR3IQU6PkOx2BQYlHJ6wMG6i6Ih6FOew0UtZA94HmkLvOM9ABxp
s3T1Jp7Y2D9Vo/82GZb7Gq9K3WRLWweZtwpGs8UcOty9NwOS8TtvHNQ1g7h5G4VKT/izioDioN7K
eZzQMWOGtn1/upsnL8PtYhrLFq0K27qS/urRhaewwxcwnlqsLF+6Jb+zJr8zsBzWaPjDypcC8Piz
1sN6MQztvrKvJ13ChbeEun9orK2nzQocdSqs0C5779UzkpwZbC6xxUMtlksSwR7u66NYoYjUwJ4C
4qXSAOrFWAbI1vqNb89Fsp+oJfdc0ymCd9ecAqLlozj0Y1tTbi2wMBMftRXcZqwVPiTdFVlU0h/Z
QntrsHRNXey6xB0u8KvNQ055X3Gaemihh1kmGmfPZDwm+ZLeN1Ddbrym6Pdx1ebhNDnqdrbLBt+f
AITWgIfCDk8P1IEXb6O0hnFenSHiWC9ijjZlKz+SSn36ue9sHIIegJmpsdmqeC26sGxV0C/5nRoi
B4pvbF7qChZlU1reTbFM+V3SZc9l7AOGROn1uxFSPLmtbT8PWIeOCSXI1mjGp0gS9QcvbLpMxWQe
hpwIjJmbFJ9rue10OlxQcesnJPHFvuuJfJAFU2YGutbdVNrD3lF1vxu6qtywDHkfvNY8mTqHqBkV
cEtadz/YPEZp3P/u6Va+lxXYeG3MwRXhEcwOlEg4wZssqYujKat827QkjrsxdJ4cvEjFE27p7Wqt
8TP0nd3KPtaCZwPpnfQKKHpfNiKok4bW+eDBbHMgi9omaEVO0pL5095Gw7mrQA83COekt5XOQ4OX
c4N1qB6D1unIwwABiDuT1XINdCc/kUawWeHX+ml5jxtqeC9853vwDL0fjFkccevwt71cPQ5mG0Dp
vJVrfzBq+jtk3PapbeIHZr8Vu4Nrxkn6WBmO+TNGXs/RRDssJ+Ry/jwuJwZgLxD0GCuYbsDiIZBJ
wrAPlfTRapOTLmF89e2cfxNDkgQQWD7WVd8KQVex0UlFfo6QGmR57UmuAwOUlkMLtDrJ0ZVLB9bF
h4ew6Us2WZQe7skx5gynMQ2yQsG2qSwHLK2AtRhd2wkHCu9H6fnqVIyZHVqVomkf5p3mzA1NV2dj
SBzFT/xD9pNqNDmOOpYI+iZDqp29pD2yuKW2mbVU8Y1jIMveW4Vw3ttRGPoTwRpoe6+tFX2vL54B
AuKZnbAmbbJl3GZ8buuAXnq7et6Co8mvGWW0yfIYGXb0BDsMVergV/4e7/fx6jjQXiNvGkcmLDDH
aVoOeIiTz8glFYbOl0eqTUSVPhvJmrJyxKnmf+ok4iAWjuXiAouN6KQS+pNAE+gzvft+mj362nUs
PMAeFoJlYD/Cgja9JXtwDdZsnoHMAAhaiB4Aucx9qPBwXc9TvBYbgMOXdBqzJ/j8nLacG+XeSldm
mhOsYHQgiXLf6zIfPpcKOOcfFlVr+wM6UJ+6uaOvC4Du5TtYsjKAlSP6Q+pw3ecmbzXN4Ei3GNWo
S4iKeWNQ3G5TiQB3M/fuDc5vZviGuwGL5HBa5ffKBCuIDuHBSuWxK+rPGAUgP+j04HC/66p8sAx9
6tLeeLIFvM+NrUv96FCQ3PHExe8RNkw64mYzddq8dRfx3YLiDvUi60M+NgnbpaVBSujvx8L/GPV4
cZr5DfHy3G/44PKJX63mSDbzRnsaN1HZVvc+ZohAtTzoBV7IQCMOR2Qjhgt3d8kNmTElSyGvb2kD
6FR7w0bmma9j8WvFmhG0ttUF1/ycEq8AUIWInske0XaiY4mC2u+mJx9I+4se8FGB2WZInTvNfYqA
wcyzu84yoi2hO+CmvZghRVdF0Rv9QmFuUaU1oQu29ThWVv+RiBTqJOiz+QS4AUHv6GQphW/CWrjp
uXSLQXPkxXB/wTKm2j8sphhCk1ZHcv4UOAjz0nlqcKNSaDE/TUyD5YiTvnfaEPtl5MRltjrfJZXT
hmQlrW+LS9dWBKyymGxAAE4eVFu8TZOwHvUqIr3remv5wJafHQaq4zvb7xVRTKtg+MVaj5JoxQ+T
Lr55N6PTbjauy8uAHsxI90WnoweL0dAXvSldyJpG98moSwYVvH68kkbsim3kiPyFFi4Ju7bdZ0B1
p0KYJ9s32Bd0Y/ZS4G1sh3raOcX02ncFbKlKv7BA3tfCcw85u6TtsBLWYi5LG4dO6zDjTg2EoqwU
OVeSl75ycxQjNZ3JyIMGvtpsf5drcl836EdhlO5dgHfllFdbRcQJ7Eo7C1a0r6eeIN1YWsQDobQB
/Chr4JRLge+vQg1DNIeT/JSDdGpEjfV0AOHVvhFqyGxV2c3RSWXzXRLQgA5K8oBMSRshgyXp5Sl3
hJyDRvTZIYvgxf9hubmxV7zIWUGEHhjW+QGc6pWfywV6Vir9GOMB7N2BymKskxs2J6wcZJEf5tYn
W6o1BxStNhHil3VOygPCs+kKYvXkwctM2NdgZFgnINF/SzkVv7A5i6BEXPOkMFcxJ57r5OSsNkeY
445nEkH8zSgJm+TcME54kAHMeU1lH1uJFh9A3JTdT9QxNyNQR3DuxGmwTcM63EF0uOLmMDBBC+p5
yQNDDq9ZtxKh4K3eNlFju588kVLWESzlYjNESe3sIYcCyaIplXd0cNUmbtkqjmHTrI9l/U3Oi/EL
lqQRtO5g3GbXihfFfXJBr1fdW/6IPRWk5TldV3Xgo2SdfcZBr3Ys3a3nY3skcqik33P6jVw7GTgZ
TFk7hSfKLi+7RedkU5aN1M5RM504cedgpJbbDZzSe2Vl7P2r9roZayLxg0yJ+iZiCxTWmR8DNLbU
ZVj95I5MJucLG4kbbZjqXS0N6WyFg+3AyJwMsqziYQqZIVmhGePlr/FzvLVJ7DyRFsY6phY8Shpg
2ATh/OIg1dpU7KGu2VcdXozeYUA12kezMTOmKdlCsGvmFE8JevX9QOzVjybirKtMi4X+VKJs2yzw
g7ElGlcAdV4KNkvaJRTdreIvQk/kOyaR5GGRXROyTjQCiVBxg0UdvDNhUAGmVcUrlVdBWlrLKTY8
rhxdjbw7U9V4n8ZkvEMR+KVH17oDf3LmgWJazzSJ8NM+PceGKIZwSHELh8jfi/neX1ld76+m0mFP
biSnWdx244HHuqF8tBiZToUXA+VP9IvbmNekMjMZzbDyiTUIDF5ZJAOrf1uOIjo4btF+ST1tLGbu
kWv1D4DllmNpEv5ADsjYBv2UIp+J+yR61AyLnni6kh8ZYYRvJFXkoXIh8gN01jvw/+uDIrE4wGRA
f4lfnLVzLsw3VJf9S7ZKBlNe0TAOX4V3jFvZBMjG9C9fr15YR2a2BXq4PDV+U9+WRVnsuC3yrXLb
7gYkWU0/CqSX9Yv40yXj/bPK5mSkdF9S5/mNs2hxBJIPsYc7hMCM3Ft2nT2u9wxa+uOK8+cz01q9
Wh2FNsZ22EZGjBudUL79nKTJDkbQNpfz8G3AIDv+O17RlRP5yJDhb6N1ms88kTkltd2+V2pMvyz/
mn8W6/XJxRQ/YSMeGOosrI9RMIRMjUGjpPw3Y0ryvOgIxyLLDW8OzLHvnsRcdPc2TArn3vTK8aZf
BAZYx5gINKbXOjRJzAYdXv55sfCK0EMU4uCLON/WqkejIgAhun7qPhOELO/jGnyoFC5DmxyXiOXz
0at1xxLTW/OXuC2QkBhIqNauujMq48UtjV8W0s5nIh+aC4ls0c6o5uRa1cI3tpPk1QSi+LAM2n22
5my8GIBhwjR9BM2f76SdDm9ZpbqzI6z5zYjifpsiRDlZFZz1wY2GN46VN5Xl1t1iXOuDqcjurcyW
pzLvzH2u4+IMszILImfMvscxAnwwSTNoizGhVTE5HRBYHegNE2zDtezjAPmHAza/a/bAUtb3Qjft
sumXVX4V1pUY3tUm2WvUyac0IS+ttBVzWfzlYadcaL/1AG+efKU9vbTH0QQ4sKgVcx/V71vLHW7q
KYKeqYR4c3zgrQw08XNvmqQQjwxbk9O49taOmW3KV3XnXVWb2RHchnWu3abbFhjgQiMuvROxbYhi
y98T8xo1c2fksAf3lNF+e02mgaKfxmYQdWl5aBRTY+Xpdy+Ov1Ep/fKYtgaaLXYSid3sIlFrOpXu
66b6RXQg9jRl7EuiIzcFcV11tth4y8Zb3erbya1e54FjZ17dENY260qxmOyNAbeTbzYIOxwTVxzz
sX5aOnFAMRS45hjDPSjzwJnAIDhshWB5ziyyvIFxT9ERpyeNw2o2N7llH4Z0ubUbpt8LBtkLoy77
0HlzurN7jR65XhOayWFIP1y4WDvD1emd5ybZk2T/9eyUdIzVmjAKLyqx/29rZVI3srqH89DrTyOO
7TtaYHO3Eviwx3LcvfwR5/2fdoz8P2T0tOGwoc/7XztB7j5jnCBd3Lf/cHv+69/9B3kLphW6WTyb
TPJcDwHmv9ye8i98lsI0kReiMcSn+F//y3/3gsi/qD1MhRtUWsCeFf8Ic+UfKJfzF+5QB4+mJaFe
gB3+z3hB8BpfZfx/F4gqm9wppNyUCkBy8K38U+EsEZbPvTTm7dLXcjyoawDOPHJVb9YYi0HWc6j2
hetb4eyP63XDMTbgP7QpTr4B4IGmJPXAwVAQvRULk657TFXXv1F2KGQaJRDGrNbRndlcIiqMZgEd
WjNKiAx6mkeHaL0fBnWqfmKVP1WPkDXyjjiPpIcaZZe43NpSRQCM86ltmZfUvsehrSAWK6JmE/Kg
GLwAfCowri9WBLaD8a0+l70Wv0Va2eTZKImkLBv8Y5M1xkVmsSHvh4z+KSQx00aek4gme5gA294y
5wA/5uRmxy/QTjd9bzpe2DrVGN1HBcRtsjxwZ128TL4xCV/Ent3ATMvryitrNQILPRMDRW7V3Nrp
LW2E6ILS62L2Htms2xDkiJ0GjU7jZ9szYFq0sNjMcJHsxtFIpkn60LGT2AKPkS+q6axb1ieL3iGu
GfMD4q0puyH8YaBxvkZ4MWa+jnUWEhy4l1PPfpQ92JKgNu0BuaYTh33qafJKtWT5iaBatF5MDpFm
ByCML/bCa7rp5qwagAEXTKZJheo38Bw9ZoJ58oOvBnxx1O05AsFbHZ28nnISCSA47xSquQs6p1Xf
lTqi1VT5QOwgkZBomnD+GfNuQoPHGAXV63qHCAMUg3bZfwUmcibjACM4/cFVMw17DPARasV2XvwA
3lgnQ7bRzrmcZ8EM1Yu68tYzexKHCWvqy0011uLg9KTyBR0EE/9o4qStTxlTTIZ2CvvFlq1xeZBs
N/qQ9Ar2GHqV/LkfrWXZdFacRLsly0bozIxTl21M+oDYxi6iKFr+esYGDED0QHFs/0TX0rwUcP4D
zKztd9VFYmYBO0EKMcGTERXTYqdlUFQRukibc9R518NgXd21DTA+YXcwmCTepKlp/ax9McwHamsP
GNasO/oHX/KOLa2ubsgNqEcUHG12CycwfmwT9+yWmXrpugEmch+xm8KVGhM7NrkmqsGi/uGVqbhQ
PncfSI3UyXeyw1hJQNQM9zz5xPKRKQt7lF4+A1V3URCb1ETBgDLxKSmt9buIi/VudMx2CgjWjMVD
S01CRFiVgTiWqMhGbihd3PmpT8Mz21XWhGY6Fu+9sTYPFEhmg8CwhicemX7GZNKx7OdmiWv8mBKd
BCN+zyLGLyudW5T8sROSPJS4bEMNLU4DnOR50+nCxtkiCK6F4rIwv06L5IPYRAxFIKt52oU2QLzX
ANDDiiEV/bIZvRorSa+ry46kmKvyO4eDT4USJzsd2fMPf+Rj13Sp5+5F0xbvS6753FDT9w+aCUNg
20V1Ks18fO4Q+8WbfMk5CxA/3CS2bZ1bop9aZvdWehjGCqZYImAwpFTJxaExG/tFFFkHwGW6qjVk
7G9ZmefRYzYn7GJdEFDRnsiMaTdIHf9kMcSyMqXbHSm0xcDjkTfPiTKtIwWFnZAvUZK9E6vJQkfg
qvwbiVN7Y4ExtwKyotbXQejyq2EwCN8tt2a9Z63o1WGRubAj8mlE1qCne7KjjWNkSwvfrq7y6ame
EMhdY5DRD5NeO3ZB6xcNmRu0zjcjAbTDfsb/hr93xe8FO8UG17dGPKuBY7KUHxkDP8C1qSitE+OD
8Fu3fPHSzsD9OvNBYcTimxBNKscJXa5B76swFgs4/mrtnXbi8Yx/QLE2f8L1IMFQVunWTrIWZF2M
MLfzlMERjkqmEgnfklVbc1A2nhkmf5bPsX/NSsWz65fP1TzgZxcIx7ej3USXYjGQYi0Zr6iSkzti
5RDJtM3pmR9NkC9g6k1JQ+y5jm2cbOIxP9VIuMhBJ+aQ3dkWACtPc+QQGGEV21qCqt+sQzuc0XPr
Z+FxzIWjnkXPeZGwMBVOw5NIuidQczKfphcfQ//KeSWSaNPxyifbtbbVYz5DuUfCyTIsSAY29hC8
rqQg6cSk3jSSNpuzgVSMuE5I847BGdAPeZL5hF8kaltymvmBcJP5lPWJeeBhXo3jUAp9nOeqTpi7
Qeg/SNaoEfpExz+QyZB8q9lvfuDLrh6NsafcnJtk/cpQsKIPwmvgcD8MXhXyLfoiwL1DaElpZ9mh
Qx3CIIAoHLK5FTswpiDXFwEWC5vsrEjPXbYuFAgI5T5ZznDReXAVn5fK6+4qk5ieUGUzLgI742hl
qGExmHF1cT8DFLxYXjy+Tkvls0HTvrUzDWBLaWF6ExNQGP93mb8uz+Nqei27u4zriECyBhm+Grxf
7mQvB5xt4p4cR3r6ysAyRpmbTc2mBKVUMTRBEiuSOY4emLXPy8Fm0uWfF0+NiC4mN74zrNZ/V87i
PGLcOjVWmsywfovLgNyE0M61j8OoFMne4pALIz0ahzTJTbbv88+0zsHj15yZ0uwy68NpCy8PtFy9
H30ysN+tARLH9lx9ZsZKWhBErexozowxOWOQASQ6fVro5IDZD4Q64ClIg5Fd2MVoShefqWvK/Whh
8Su0isMcJQc7YH1tSoCObYYVytLGRkMXuJCWNrMbkX7RrBGwAC3Vxc6NIvuIEeHeqiudT1VIgWcA
CUD7kDlt4nqy2BbxQyOnqSYWm0L2+z7W08mIJ03SKivpLa7FxcXakLj3I7r7L1BU+tuewMnHHSJ8
wcWK+0Ej23VHljfJXNsh2eXmSunhwv9pOYuufdcqxyPrR/WzMeLa3IsylwQ5pulR2ICw4GJ4j1Ap
aYKyRDxfmaUfCLI7BmNpM/5WnltO1AaZLB5UDwUKyf5kqJ0j14yRoMfs2xRTJRCkZfNPLbX/Pdmw
/19JhyqTvapE9d04ltk+TpHELSlT4fo3doF7/zbxBS+j1v6wAGCL6m9LM6invCED6hiZOXpog3KO
PA9RFf5NWVrjU2N6DPaAJxVPk99V1hHNe7FerLa5jIyhqhunbcar12laHrHyl+zu1vhOQD8/JM7S
mUE8t3S9MVdWn/dFHbh2PFeBbCI+JhTi/TlZ2/hYeJpRSWokh8hnUWfadjzhYJkqlM3zECDyyLc+
ED7ucmqQbwb984tTujFQw0mGLkGCVNGV92oYZbQQwG16/dEjMqT8ZBnnQ2GlNHpGrmV/D2ODqlMj
938gdK55HWYidVMUrOLGypb8tpPMoAOSucUPadrilbGQcd/1DtqAfNR2COJFFXsHzQ7MfYlsYV5q
DGAWDMEvLsg85MryssDwDOtHH3Wfsm2iOJjHPCexANA2cT5N80MkDuolAT2aANNooOAwkqV8Baqp
n4nEuWpeFNZgk3rxCeDRjGEF1JR8WyebQOiGMKqv3kaLZxs2p3GUbFmmLp+M2xRr0/gpzSQjKmlx
8vczTvubxmJtdzDZBqy3mcgzkG05kbf3ScVEJ/QnA0mXYcN8O8i6U+uOPxUuZ547xoEpSk/vkmao
d53bWPNpgP723CF5c4JEavmUpOT8hdLmKo9J47i0S6fRXdUrM+EVN1aGn38Iy3UYzokHnolMFVAZ
YHp3EsfrLsntX7ZSsiNZqCV+qvVSdBBpt8Q/iJ5gGOrLOiLIsyZGcrNaJgGeVjOc7WkOcSHUaAeH
ZNuoeL4xCx+VjqlISepY0g8TUvqhW1krxrnLaMjCZXgPurG/TPiL91rK5K3mtWVfdFV0WKrMyEkz
fEOFhIonVyVQDL8ESaHxHveknd+wNoSZOFiF+zJZI9wLNrCCnOd2rL7M3HORWHHR3hMsRHNWuYQf
cXujIU2WOcp3FWQY3kJnfScLa/qQ/BQqTKfYREDM600MjVWDFbTa+aORGlpgIjL7IYkt85kClxM2
XUeK9aGNbyKrmiECN8tOITk64kJbk8PoV/YdTYMXEWJdy58pCuYwF7QzmBfj1Q3i1Wenfl1Ufszy
ihRElWVL3sVoW+QNsD6fd6zfsOjK0i0fZkIGpzUbf/LxVbcdYYdA84XJ7c5eQR+iOM7rcIzz3XSV
y2wIISsepEkxtI0aMxE3nR9HChBsZ7KNTYyUror2RgU0uevetzP54fRcYMHaD/SvKPBtDRQGMAuN
kq+WF9BjTH6M3vLTHfax+HtsWgc18SDei7nEqhA77SGrOeZXxMfJxvkzYcv6atuWMGYLJGTpBuly
UwbLPCCVLqTqPmwDWal2R2ev4Me+tglCQ9aWdZztopSlPXzaqrtpKgmcpvOjq3L3Sm+4qi+BjE4a
mQ8BwdQ1pKLND14NAz5gwOh/J0xCnywE7rHvMzhzUuVvqhKdc1Gv7s5yE3PPfse7YSg2bTy7KY9E
sdZnkqnMsG4V2G/u5jzfLsmAPyOaxMZqB5SASZl0XyjXVL/zpd+3B7cn9I+Wvf+u+3V8mNuUuO1C
muzInIrJ80bOi/lp95MZMpIXv4k/XC9QHpEl4B28tYdYPaY1A/wijqY7YntP2sWST0QaoHlcjuMh
s9VXN1DwgE5zN1Bt2bPEdEmyMfddCn57GpX1Y11jfA1UEbIA0DOo5BtEXHHssMOjBPB4vVMqZAiY
9yhD65vC6fiBxqo+E+zEBdq3+oOaAjUsh596srNPU2IDTniOKPRLLA8Yl7bCrpxjVpr1EzpBc480
nNwANjlV1Vl7kZTu95AjW43M1j5adXZYS0/qjRqyNAQ2WO7SorWeWnwIGFI88ycxYeWJ3NTpc2jr
KLSjrCjINl7M+UA0OJHWHJLT1zqoAdlAJpqgixzv6sWg6Gokv3sAD7f5dDLlAfFURDYtg9Ue2MuL
baYslNPX/WIdLbT7Y52dJ89a7pUDQRQJUL7cTvNIVehN/fprSTugQhkVJKjVwnteHKVuF1mTq4VD
iJ44B85QZ2YoqeR/5cbc7lsYPNfLhLV0NwhUeM5w1ykO0Z6QmTSoQVxF+6LyIVCIZd/kHhPOHmS1
sGqGHxlKnBfK3YYBBfKPYP7Tc8y1DpvOyX57SCCOTlutl2lJ13e00epSVgu6UTPGe9JIm41hSQIO
9AuOSyY3e6fKj5PU9Z4AOfUwZLbgF5o9tlMOmU6Y4Qp7Zw0VlhC3d27HnP50cO3mbUIEBOGjzECZ
u86FYNQemV87PxKTyuDIBBEcZGX21uSW+RaZRQ2ivG3vJ4vsd1hKEiHLdXzWTWFNykJAReOc8RAq
9hlJclObeHitZThYs3vvUeYFduPap8WRgkLKX0Nsx822xGJMjwxRsmXrvh25jHFlmZR3She3HFTp
lo+M96ME445IoSW9pbRgfUqhn4Ef+yO24XF+VripdnDCsQw3/uA8eFA/1EanarmbcmPacuJi3LJw
Sy+9bm4Q6NTyNIu0Bq3oVMclirt3I/XMZ/AVSO7nZu1e1tGn2tOZ9aOZU3PvFpnJu7qah1rx/rel
7rdul6f6ppknypApRg2LuZ46Z83cn3OZfypQbMFcCeYFmNd+EWIa7Tkfqgt4t4lyKDLuc6vxEEVP
P/qUi3WAuxHqnOXO3pmdMUjz+RJXuXtf4xLGUU07gEgopr3ZRJOTnHALlUfXbL1fZm+dSWadgg6q
FwVZtJyVDShiBu4UiA6j9HVwks5GtY/ntD+qeWU2tVSrelWycN6RxwYI1rlJNOR5t+nr/UK/sTUW
Ctv7aHaWnyso3Zcsm83fUzsY9AO+cx6IU02Vs/b3tbFk0108spzma8WHYs2/Gtb23dawuvlA6b38
jr20OGedIxHQI5BrzQJzgJldhYMLu2aPKCxcpl1MJbU6WlIOQ+MIshReCkL0aXg0rQImtwMyL843
/1cWBv8f8iPZEv7v1gqnz7YkRST7x1JBqD//6l+AKe8vx5Eog33lQxGVf1sq2H9BMnZMAAImk2kS
tf5jqSC8v2y0alAdPb6US8LD/1gqiL8cV4KQ5P/Y/EF5/5mlwv+M1lBwGkAYKIuthvIosf+5UVCd
Y9Qui+It6BPiP5cH0qN/C4/njerEiPrHscp+NzYesL+9Sud/31n8nR3rufwG/9xlKFpYAZffxLXE
73Lddfwt0EfHkG3Vmg9gK/32V2QzIh1s20aL54wMT6S5MrJN2LdYG2ZZ62X+g39GBbpiT+nq37bj
s8PPOPsB0lyp0ZW3VCeE/qCkm4TkvFBrZtYbtv7e2c6buWPENMY7y4lwW7c4Wlc1ujeG7hmadz5y
q/JabuZXljX5Jg+TRs8Kc/MrvfKukc3uUp8WHaERjt2mvCxXOnYPqlgZgHy4wZCfUeZcLIqJcTNz
h97jp4axDSfp3u2Mq7T+yuAmGvxZ+x7fD+p6t58tVTwuTrXN6vQ2tdLuLqt5KWZ/FSslhgnmO/mD
/J6u9G+sN+OXdSWC93/g4Nyw+gGobHvrXNnhgsJkI1XCAri+MhK5PtKNxSn8muBtvChnnLc4sGtO
0WovsJA9Aq6zw+iKKyckGHJ51trGbvnDM7dGw3uYyO77Hc3SJ62iIhOIK7X3v/t66pBkT8wDdeub
L/MfYrqWV3p6dAWpd1VDQElpL5iicomhGpb8MhHF7MUnaZmUavhVbhmioZ02HHU/J4X9QDQvhi/m
6865gQAKIxe4e9LRXA/1XJ5nPemBdFRwpEh32e0Db6DTqa+g+Moe5tsxBR6PJLIMrhKRHVup9US2
RP3SlB68+abuDB26Vwy9ZO8RSrJMCFD/w6nHBudXZ036ccqMKEMXli8DUQpj2RSB3dU+zFBkAQdw
xLQguGLX1yKXXDCkwANZYezBPAEtuLc88PcYeMmpFL8cw3XYDuGogOjS+2cGxp1A72BoJxhwjQUO
xIYjczXGGl5ZpaDWRpO9SWdKC0SGiwem0rXz6izoQrdruqgoVGNJtT/3nrdRbUehX7n1coyKzkVz
Xzn13TDE/UdTSh4kyJ1v6M3jX1Hv1l+8Msmly0r/wc0cyppmYeq5TSi13xAGMINKBhJOJNocogdM
MZ5xcfJdVhkLbMfETwaUFPYHZtLuRq2pmoPIHsHPJGOKWT62xLIFiSB3qFCWJ1mt1qUUHuuHiUnW
irHyGsJLzuf8BQhC6U2qp/pxjIT/0XlV/KNNePW2ttdWGEXzDF6Djz5lpEbcuMMg5i39/vxZVH33
wjg3B7iMdvyzSVLWlzV0tlCIVjlUjSmg8kY04pfRJeIp7uviFVtQ9Khmy30jxpgJNFqayAjlRNOq
YYejxRNjRkR1ifqpUsTrdMsAU0hDRIGAlqqsCzviKaxdEns90PqWaj5Usys3OlZq3cYmOC0RjzSu
6F8E1Dw09QRajiNBA3F7QSLcMHvXZn5aKRHE1TLCKZJhU2GElE/Gw1IvqDVF5mWvbFrgW5omyn7C
a12adpMA3BB8YXFYm2vgJy55d0G7IF3mzMl1oj5crap16qVno8jjs+xdh5h23wHlspZiekxwkr7y
luIcrFWBNNOr1TayVfuk8fTCMLUnOBPOv7F3ZruNY+mWfpV6gGZicyaBRgGtgZIlWZbn4Yaww2HO
896cnr4/OjPrxElUddcBzlWjbwrIynRYIVF7/8Na3ypucwb7zMU7x1nVzti8mB1nOoeZmF4HCMRv
HOZ8ojjatHgF/47xCjImjY1tH6UZaa417bdGGzpDkhkkYPuRV6phnlKRM+Ew8lJfW+t9ybHQhwSC
b5jF9udBOsNTLlpygWcsch28KgYqUO594zWRHZT0SFE6MlbUSnZOqNCuU99QF42dyqM3jWiciVF1
vS0DRutlQAj+2UQzg8kiXtRXCfBAdKIGFDbILvFMRo7XTtGVHuIIYvljZmckViK+VALb+BapjHmo
eieKd11uSv8wkYq8dP063662Yui/sZpUex/YgIZrlEwtceFGGQZdibwWrbGLScQkW2Qz1HMEfMss
NWvNg9OyPkRziPe0YhgMWQF7IuYw0kqdye74T9ASxKuxxaiMEbrgR7z5AMW+XteGF17zJLVvLkb1
ay1r3Sd0cMWhR+Z+nFNie7nnnHzvxBM3aFaq6bmAUK3wuSfDGdCYV24Ldj+P5NND0J1A3zcruHHu
JyxZ535cMmMTRA4IuVHyYClXbvs1qZ6tJtPfeJ2Ahtn2wh/OXjHoWG3xHZhQGJ7LKlq8916VrMn0
KAgezSO2/eV8LAwmrZqruiMwB1gEvPJ36AFnNcThSrmCrdFMIfVB1mF+tkLVDVvCQVi04NZ1ITvU
tiv2YTQBaMOKG76TeOE2dPAym04V0S4688c+foZqIvigyXFg0zGOZD7VOn+3MYynF3M2nQeO35ok
ZMPZAZ+bXivu55NjRCMe6tzIX4EZ++Rzd0ATVpFYchn6lDHI2lA6oNxuyvB60Km0b4Oy5QXMQU+9
HxoX4Xa4+6dBW3thMj/afJF+IEgKcTtgzgvGKt8ZqIHrtVdhfGDyLtvPGcUyjXTTuTaxzQgFlw/N
uE2sRt1Xla6u2IFl+Yny3321VRx/MRcs4rUeNyykGIl6vHFpPDNGYuRsWFeAhjH9V1HovUxs6t+5
XZJbNFvxyLGFq5upB1k5+aaSNRyTVdNl7o2g7W+YF5Ixhn6sxDDJzsVCL61IrjLzji8Baqqx09L3
hhTUc9VXzxhOkaW2AKTilPyopGDwGVAYsE9TUnN7YMGWgxTQjAeQvTbT6oL0sKCOR/AOBe8EmRps
3lWtseksDO9HY0jzWMaOx57L1Yk1CCt2ZNhInZOydJKt2eFnyzafWb+fQ/PiMSNdqwNfoRsUCbRE
rvxiNJA2q0a5RPBYie3dCdOJwkB9qwY8LIrdJmamxrfTZK27GgYT4gILfgVIwktZlbA20qqj6i3r
eZANT1SBs5dCKEeqYCGp3bdoS4AKzB7XJRe8/tVmGKU4p/PoJWlLHBWassYb51sEIaai38YJHM0V
tkYd8NNYTIekSbSPMGmVR0AtM348Fp5Y13Ym38wG0ANpIWxqI82pnLXZTen7OJicAr9rZHTczvel
V4MWiPqa2oRgiOFxyABkEui8SDemED/CikcASUdGFxldT6Yw78S36CMfHAQgyZw37VqhEL2SjuF+
gg/DtGRhZPGzfMP6zl+bi3LExmD/PIzGggaYqdigozMYx7q+6sXUYgUeCTsArsfWD3r3j2nRpQh7
XUqb3B4L6HTqz96KjIQisBLIDwh+gCGROLNmfGPcqEXbEjmoXAqwHOhdpk2RjOU+YnOf4kBADpPW
mrYditILjK4lTcUPLa7cPrwwbmO25SLBDry2+OEzsn/mSTS/BljnW+YjJt+wyvUvLiOYUxqPA0Cm
NHfvZn1Kqq2QfnyvTXpxbaiB948vxdNoDRxXuQmLa+d16fQcWl730H0LfJKZGKuNQrSjr/SpVl/I
hdUPK0Y4TwL0og+qzFCAzKS7+TI90CDrGdEedI0JFnjVGRaac1pxqAQwjyKDpxBz2FDGG11Nw1ei
YS2p54Z91cyhsqrLsFYsChbFUvjNFw+RqBh7xQqJ3PtsnA7WInKav/VODL4YSWUxDCXbQgzLNVY2
+bmgmidJZ057wYAsb7eR7iT3bHK0u2oijGp2cTECgpg9fENg+QbDG9ZE8EBItRs1EPxWOtAX8rDn
vp/IP+UhdvyHKuxnomLCiUqQizJvYMixdUQB0LB3jfCCgWCoGyokDWb24+Ba1aMumVeC+8zA0Wa1
OAIkI2JLdiUpLZHd5c+T8vwO+oaKfyKIQF7WfEvNSq2gRNSRKslVNBjVk1Bm/jB0wvs0gB/sh2ki
3waSXPlS0hlXIFLa9D3FqSQC2lj7hqgtYspNrST2Drspordo0b/5RJ2yrC1R8G36IWR651m6gbOo
qprbFlJXj2iOxxC3FfZcdii0OZ3ViovhJo1+zL1W9sHUWuLBXbY/g5b/LGegzMsYMWapqruhs+oL
LY32Nhl+B6cd7HMle0rIWA6+d0gKTxzCFjcix7KdXcnUbi8dolsMI5kFmMZC8bHqxzrdJUgNryCV
Q83QqvTTcTvRIkhP9CNdsn0LaeKI1kGshqa6KgxjPo9xBunCKTaS5mtbmQN6USvfJRWWF8aAxmow
nJuOL8ANAVseNlrJgjMHzlO5lB8tErcYBqHMgNbCu2dFk27grqkVflgBGqxNdmWjl7eDJYtLMbUg
8XSqRhAuUxvyayYrP1Vs5BmF0Yu407JeHlPnhsSYLkAAv4f1pK9T6suoy4ZL6bTiSZQFmzRLIOMv
2u65xGi/lglL8h6RJUGd6RTYrC0IrhwH5qDKYZM8+lfY4ixyyIBRIPpDhrHxwwZRgJ4N2BoSb96K
Ni/PmOf9w9xjql5XoQ+YgcP7p9e5uwbj/RdwmewS9QiNZV/6r5XWewcXU86L0TjRp8cFunZ5g6Dg
EvkuLcSRqzoJcYHzJ2baZWZ67iK2r7Hb9HFXPxStFHs2xWxDB3/SH8wixt4SlsQUEtm+d524f6xJ
hH8LlWBMZ4hJ++qVW3ZvZkYbtMgOwOyXoSfmXZvCPuEkNcaNXFhPBD/X+aemkwQwwa5KVv13QED6
HRaAuIrggHzJEMhSz79Fs0qwACGI0OvtATlFLGrMGwr/YEibuUQSZMudWX8HFTBq56DymFVnG2qk
7lB/HzuSl/Yqv8MOADayWxq/QxD670AEu6BNgB5sgn8xqg5XU+0qHI3mkqUgoQD8rL8DFizDz6aN
13n+lf8dwQCdrovWUEcoogczd356S15DsiQ3dEM3nFGCsPcTIqYwVUvKQ1ssgQ/Wkv3AWKDayyUP
wvqOhog8wZEYehgwIxABaCfrDlsLm0l0Cwn6eMK8voO9WJ+IE+sTjH7fwV/yOwSM/HT5A5W8J3f/
fz767+Qd4zLwkYnphmEtMThMrFE//2sR9ub9s33/23v5SQJy9N7+bf8Osyr52//i/9i8F+/l97/a
JOrXPJ5/+iv+GK2avxlQ6y0ebpsIFl7GP/Ta4jfPJRfHdk3XpDH1wBP/qdcWv7mwYg2ff8HLdpZs
+D/02rD7kW04/Hn8dZY/8r80WtXNf8LAxcEtQG9D18em8hdGchOmGIZwyNCXPqqJwcaDHkRBbK6p
4Beff8qWKhDdnflIMg3S7Tl97JokSIpnBjwbFiBrr0f5kxVvfthvsngP6nCltMD12l1fL5kUxVXs
fXyrBdkFrVTyrNjZJ5LTuHXwjN3jUucCmG7MuA1M7VB7X+24zhdMaW+co8+4ZEjHepAIypItK/i/
0PkCY84Y0FgtN7vuYDwE5uQL/dyzfVn6nTyeyHVkLYifgzoSbKO2Iz+gDVLUTWtMQdxJb6WP5qgc
PoRfPnZS3BbNHG8S9k4r25zqLYxYYAY/ZH7jQCSFOZJJ4oyR2zAQgam0Yh81uMZFT9P7KJ+vTJN8
y8nYa1ZxyAQmJKc40cdhXqzrm061DLOQayuqRycVl1ynhKm5jjSz+mkr/IVlY72KVNvxMW17Wgm2
j2AxhsDqsmCyyI9GEZw67SbPOpKf5UU6DG9D80fmOpex4rVSetjIvYynMZkeK20OjMLfRhYTaupW
HSWoWyBx50+N4uQSFXDO2H4isvOScwMYMx3/b3kE+sJP/tUKsHzvBBpNF18vRgC2AP9pfJ71EEq5
5H2WQcVjK7UKhWx3GXt7Hw/sGA10vrnrsBUud3l9Y5NkbOvWUcIW3EwC3FzR4YoJQ//KSfJ9pomA
aM6AK4gWMzQvZl8F42jfL7GSqzTtNo1JYGh5FMratTU1yBTomrclq4b7cb4lcw7G8rBtdf8s+Qjr
KfmyWvvOzl413mYc6+sE0xUzoiBCeoeMftOQIVMRIe357sYYK8pKDVyQuLTwfXvTukzCPzlWdD1O
auUT6lzE8iGtidTRnd2MXEx/Y5qN2kQdGmcmUnfA41MhvnLdke6JpzJjaVazOfXKa7fJdxpKPLvw
Pliq7fMcnSaXEt8l5F+Zmk/zKLceQ4aptoOK27vgD2RdkHSLcejAcfFsGNE5LR+Mtr1uQ7w++vBQ
jm9zao9HRu2LpVEnHQi8I5CT/AXgwxb/5c5JeUQGxwr0xX9ltp8CqCS14nQTTdDpvbBC9yIhwTTM
jGtnfvvldP0nWxbjr0uW5Skx8XsIzzMEy6YFnf3LkuU/jEVOlf0kk/GZXK9d2OpvTRuvqWkOutve
IXQ7z6q/ibr2Kh3Gc4LxTc9AXMrGPWXsUDZpV1+1s38TG1jKE3nH5c7EV2aXNO6/aqB1/+eXbX3T
wX99uhGNuTzfHOBcMLrw/hpIUjd53ZOXuG3ALa5SwzyEGS/YrtYjoCWmKRht89jbSc5F5Dp7reCQ
anT1brgBiopdE+dLMDejvrYZmPq5Ls9sZGwrI9m7KmV67ORnQh3uOVh3Zj5eklTd15r+OJsRRanx
GdnjfWExiTQ9khnilnBbEoVWrYNyZ/TYG1C3fYE4UzS8UjuZxUC01UxaKJ6Lu7jvEVWoIzrACGBd
yeKXnGPH8cmcYjxsZv2Do+c39FHzStn1FxrlmPlr/TBI7ctnOo3WyvlytPwev9tLwRa57bs8sPWv
Ok/YUENmgNGaRA3oUGs1ez7Md/sJq/vO9AYfIOjHEGtXE8h16FpbmtgIQAy7L5Kc7OeypidI4r0F
T6yw5bXQkgsCWDK5hLGhlNyDN8tAQqjntJWPDToFh6HqnDWP2FxuFB6DTQ9DctbkHjko7hixt5vy
3o6HvQAUUcr0R4gSJo8Z+sJGcOAaQqrbOKl3iUpxVdXDZbA8BCPefaEzvFaFsyHmfYvyc51EdhDF
IuCjPwk93w74SCHGPCPS3veu2rLGWNvTtahOMpyZ0tuB9FFC0jfr3Us634cOkfWJRwdz9OvsKi3D
53axDE6LeZBEqqApCwROTOyHEoOTKaHEIlaRzkUJa9O06SsIJjQEix3RMHKxnheLYuq48pmM2NuK
hnNF+BOzsAEbE7zyxE5/NLmFetn4SrziKtT8Zwt2EUrPTy/SgloRIQ5A51Ti71v5fXWRTbY3ZjtA
+HZfDM5dFqVHy5iGzUwT2cxkmWsMokK6N79SQZcOyJy7kpvpBVIGapFxX8A7YsSLaDyUxaMZly8R
YNmxNZ9yiaDJdl7suXkYyYaHo6iumtD9mg3zCPXS2WKUdtDORkcStdhHymnatJGXb21iv7JvGkh1
A8W93bkt6qxuzrfgOe4qyKRZE+PdVfJFENSH38phDuhPl9aSj/3sHfoFP2MCmtWyq8yw0aTqWGB0
WoU4fdA750UZClbM+MFuwF/RoW90cOkaAslRiEvhRBv4RU/IaVceup3WYlmptOsoe0W0z8wFr3AY
nwmlvzWLeTvxtFtp/TUnxmriHRtH/x5fxLPRJLtKQtTSm7tQ++gz78ufxdsYjehax0BXhLZbxoZu
oWcQYd+F/k/ImPiGt5Z2br1zrZ9t86ZUd2mfXFqt2BDZsnLMu34yVjL1HiG1rzOqDgIH1yV76b4e
N0b6MwP6UA7eFgqo6z8MTO+S0WLt+oWwe6Mbryq6R2G/czwMedatVrSrqBtwGSPh0LTrVNyhMke1
OJ8EO1MMNCvJHZUAxW3dwLaKbcbU0E+XjcwNui+f0UAB+UsyUXQmvte42zz/UowDff2tQKACQy/G
u28gZEpsVI0fAyipQn2NUPegKX+MppkHkBg/tBq4QRvtUXl/9kMq18qPi1VW+ZupIfjb9mm/AaTg
7PGuQMu6K633CfKOiqcEO9AWfab1qbXIZzENbSrT9fCQzUe7LR/iqHE3RAI8+Jn2WhFaVWXzA/7v
y8wqct3DX6MhNK2rSGb5tszZTrhOqZjOlD8qNe+82d1LsPeEQGHK8iinoni816yGaYuot6yi0O0N
79KhHAYeDzpFZxLNWthxP8gcPvhD/NOb1IOPn2NNRsF+mYxuqo7SxA+LjFRagepSIzq+lw85HMta
L7YU6ifUqF/wLTCZ7CLpHKxFuly11+yIOX2ta/Rb52mSO89scLuEZhS0FuJ/i232Zmj8ZCPtVmN2
hJ4izxiB/o//yKaobf+S4f5dUYE9JKJ4aWfM8EUVszbrQmiN+oH3JtmG/kRWIOI8BjSuXLtkD6zw
hvFLCuf+v6tpXYzEPxBStgnb9O7v32mw0c9qg9LlP/3D9rtHvFU/2+nuZ6dy+ff/yU/+8V/+u//y
bz//nU4T/xDd3b9uLWFrv7e/9o2//8Afxl7vN6beS49oCFQzmGj/bBQ98zeT2CzDcehe6V/tX4y9
7m+UyeS36rpvLNEitHd/NorWb/yE41FYod5xdXrIP//mf1RlvGm/vxP/pErD0/iXYt6gPjPJK6Dn
JDLld9/vL2Va0zs501FQnDUBkQ8YOOYNGvnyMLput+nTUe36pniNSREEouh5rwkAU9QTtuLLyf9Y
u5Lh33WM4eI5jeMErvrsXOt+6YYY1iTXRWe0lCoJCt5nY0YvvRpwHpw4J9gpZBKZb4YdcRdBNXn2
Taf6miuuPOTYPKKWacgbx9XGi/CgX/id0NAqkmIxCM84jG1v3LG7a45WV1aHSe/cmoGrvIrQ842c
fngMNAef0rGWXXpMcx+kceJZ5UOWhLO4yhLsXiLlFyEwTUHcxU7v4IArwscRtv2usDX76PhV/4b2
W+arFPtHAlVjSp7YR4jH0J4GP1Aw+48penO8HXnKwUHTaHz6UQipxomLCnbnGLHgcCh0jbS1Vmmn
kpMoUtdat6ye+B66hc/vNttbjdxWf1UosF0++fIBua7lNQD7rGfqDkpnZfRQEm8iOakvPU+0uxA1
AcGySTi817qNEBGhBRkgnTY153jM2HM2wivqAJOb5qyjuM9uO7iAnFp2FagJnf2qbGBMZUNmUjC4
1clEjHUFERNgT2EJMyjc1N8bCkXrajS/YplzaTmxnWoQyq12n2oZJJHKJ2KTWkbw6cYKmyqFIbbM
Lk6zK2SKLp5xsdgjdPferoRLk0U7MskcWltKRg5cuNT8UWdQxHRG1wetTqOjjennFhWx8YiDh2MQ
hJQNA1e4WmDXNNTbEW0LN4YFr3ntpo79vedHpTz6Ny2Euy1WqDJa2xV9+9SX7skq0+FgY9S+hf7q
Hs0U9anuKPutiHvoG6Ut7y2BsWZfcVTeJrOmsJkYNkUojZZ/xrgf39QO5Hx0O568BvNsnmz83FdI
A3AFsZxjidrNRsE8g7fUa52s2Ouan94mkcKtmaE/OYF0vS/EHL75YPoOWmYtQM3CObralO8jozV4
myo62VbxRsEvwhK+qnvU1WsCP9FfZH6K/AHIpTsHekie7srrcM13wI6xGTkoo5Kpb++0CpeKN6WI
XxNtY9fNW10X4SZ0qmLTyF57aiyGMS3ZAZjSGeqosNrYk3UjIU+OoMGDwkcNH7bWc4jms1BGF1SV
y1xnduOThSfvMy+aHzq4/XOBkqNpawqODuSQmW0xCbJXqgmDmq2Big7dkw3WjulqvzJB3VUJmpEb
zBA89VjDRicYDCMrN03Rsae0RlgiVTfv0H24coUpzj60mB+hitNmW0VsbvxZFidEf8hIWAs+lr5V
XmsC3WmLgXuXW3AOb6UT0v8w7G1REQlsbKtIG703FoFZCXxQaj2PaxT/QJIkxIbTBP8wyYkoLjw2
RvHOVLw5sLyRlQelB/o+4IdsNhdmJEHGmQPkpsGWdLKD52afiVky/NZTLfCc1OaxkOTgFLa1E70l
toyT9St9Me6z2ECqHFkFiuk5DB9d3lqqh54ER5YzgRf5BREi8YCOerFzbZE+KII0UoL77ETce2kL
i1VvqP+MpO3RORhwwd0wu4SoNAKRVskXlDX4uCA5Dfz3UkwBm6lxm5jUu+ipgNPjW1OvMK7Evsmc
ISK8OksIaV7MQBUdAdMZ17huieWkWYR+4zPeerGMlq63nVpEI0MUFHVFlWGV/b3I9fZFy1V2cItm
aihJXXfXKfCfvP/dBXewQq1RW+ojQne9NQ1/P0f2Uc9QUkiR5S+tEXVHcgz2as60e1VjjExLL7ub
kia6cTox3xhaRuOE3e7SlKcajihVFlEXMsFU5Zr9I+ltC1V5IMgmHd2GlJRaO7M7F/XR5Gm6GYjb
YC/LCc+4xdcP1pC/hiTxvqLcyp6aRFXXvM3ZbZHN1hsLZSejGxMjxVve44SJ1XQiMY9ZihHNsKuU
NLeDJ/11h7L0Gks8TelAxtjW8tUxn2YLG1FvN9Sr87FlxwN5Iuejm4csD/K5oFGckQMtydPZs+ej
TplqWL1FbJkHN18gvCqf6zWdY/rZZLG60ntMNatCs5N7HJc8ZcvvRsZvXiQCrCBC3Lg3UGD80LGg
7Oj6Ofq8wpgocvGw0XCNqAMtdEAnEFELWC3Kd/3AdV+3TaCnLN+RXDI38Ds0IVKLqh1p9NkVZtto
F1pxvU7CMH/WSjU/ShTDJyxmnO+6Cz0SLnRDSCXyu6tImJ/dRBwx9svsw45JPNrOVVo/jnoPm8mi
9Cg3PsvfE7TN9NrwUMYuWsOVHRfvZlcmPMZZek6tNrrB5cW+GFxxZK6Kwc/eBs7TdA1/ztS2U1RW
ty7ZTfJqwLf8UCHUMmAQkN4sutZ56oDVPo4puEW2f/MuCTt0llFu3rh+F/10lYwCMjWo16fFnTh1
yH6pof1x6wAffEpbd3hwOWrew9FNOHQNFDmAFUVprdzUrh9dVvs/czOnvzGrReSVMLwopP4ap4bh
7Nu0MUGK1wuH3A/GiDkl2670MNd2/+KH0QcIb4Scjgeh2k9BW/cz+NZoz57zniUdSq+0Gg5TE55R
sjQrCOwoi9RAPElaT8Z91vIl2Ss/sY9jmTr3iNnCldYpY5eWPpbOOKXosOes+6jT4lxNJh8UxJAr
o9bsHbh6esmm1VLcRyjEStsYbtlkddR7aCniwvSDmjvlsZqqPNDntsK+rbcXhJfjY1bPGu5tFtUZ
y/p13eUW6DVbe/AICB6tCQ0EQsTbobOLMyGW1Htmkj7r02Rc9W2h0ElAviuZ8e4G4s62EeXWfnRL
/8UxGUgyGaw++44+eejmYZlaOtN9a2HxVymsp9roCLoSMTxENQVZHzdvPtli2EQq58tFp7KuQ5uk
AJivxTKmL41G/0BQ3i9pbp4RYgkC5LGaei055kWIs8vvsvErDMVwmuFPArIpNOc8OS0HyTBW9HGt
sUV+7B0jpiE7wL7JxZmoo6Aa+IELOSWYUxe9a+gvGCjAkzqKRkRO4yfG+O6CKuGMvV3udVF3m0nX
KAcknbQ7Odmpkcy4JjWcKDqTTeqX1g16ShYjNcd6JTQL9HKGGyVhNxJ/+Nb0WZMP40YRjTQ2moFv
cOLeVXVdAyuuBaEijXbkTCxInyOc4gGxK9PCahrLZC3wk1NGYIlFCSeHwJykducJdDqvCAQ99wDv
a9y5DkTtgBWA9UWRVcEkBjz7xCXV7MZB6j9de1isOUVD7dd6mf/ZE2qmB3PLbdRZPdjQ3HY3Fqnm
16LTQAem9h3F5HRIfWgZJpb4U9cmPtWcSsknKNJkQjmmd2zUW9t8QHEb7YtO4p7K/XAzyPRo2rVz
5kTAG9DgNnIio0fGHZkYUvmJkwE6osP4ms3nVnpoxmrRuK+oN9GytUZ74vtqK2ovOQVtM/W3mdaA
uZ2wHl9bLLUF44xyNrYhFe6GKGi93Yz40O9nNIHNtgaC8wrtkjUPPAOx1gvDPpukeW0QNaPlolgt
2FBFTkVTLW1n3RUd87MOdNe8zhqUniBkBIyOLKzRCGYxcRk1AVKsxa2Fa0OJYanuqsry4twL28k3
wECvjd5xCT0RFpZpFxXiOkUX+kn4r/4BMc27dvzMfVXgYK7IK4Ve4jiEPq6LCJEvkHTAZtA+ASps
SvgvG61CiIjafvAeuqmNJVDVdmJ2DEYRJLQXWI29A8cBNrACIbPRYl9fT2nY7ji13vtk4R0Tr7aJ
PSve5Zjq12MCgtuILgShAsLuMbcCIbka05ChVKFdiZqZrp2c54oRMKwQ/I1pJO/F0BL7ItBxoLMM
N5kIzTVI0p22tBiuW+x5I4AZVYg1qA15JQfHLr8EOQ6s67S94eBr4IPAU+Zw5QBc0RhMxs9+O+Tr
IY4eZDwTAJNHjxplB+LVftkiSfQfJPTAMbg2FxpkIbQ9e7UxoBn5IDiYrUIK59L21mAuuRtE9CYr
4xgJWjO7a42NVK6zmYeG/KAqllduxtQP4SnCDyeciXCEQWKWvVxnluJ1kliwBoZEakLe4ho3NiJH
Kt5DoVTxXvoNTkyrvJmVi9eRVB/Y42K+5rtn7WozhMQI4xZ1IMiMFX2TeUhLzOFhjTHRQq6zjhr0
hY1QasG7olHAX20GwMszilI4gLtRt8NbFGo6G11s6yZcSeUxVUTxeXImlcKby3l/vTZ3dxBHXQzi
Vr+3NDcEE2OoF4bN+CnxbNGwpNJJjmMHzHszG32P1zAtYNZFtf+EKHF8l2YUHnG/D/a+RdlMQWO/
oKNX0VZqLGrW+iKwPwhTT+6cOhoZaiFw29ejGFdcHOI5Krv8HqdHPay0lt34jojH7oABCQJG78GK
FW5fP1uWvDcnHkUhvQcpM/vIAZOtiqT2SNxs3ucaZV/jsGeUY7pG6eNva130P41JxQbVqfDOyGG9
PT0WEEeUKPkr+jGHRMCpwbBAiOMb36yE7XeNorMoYvbJowPahqvaTmjhAPREh3Q2xr30mBKsvFj3
twnxkCxxOPM5hcTwFIESfSVuLtklICDRN7ud++hRuIBtdIocn3tqZlf/XSOzXydmf/9/zge3qCwY
Wv3r8dvdO3mMMn4vfx3B/fFT//DBGa7j+tCYTOCtLtO039l6jv+btSQeOzZIu2/C3T+0Gqb4TUep
4UN+QPdmmMvc7s8RnLloNWDn2MzvPF3Y9n9tBLfYzX7dOKJc8Vk5AqJFGIL99S8bR9A4o1ZqsgtE
wcPDunjswmsjtxmnd37lkE3HZQN9Ddrezk+pEPkCGHO5KeiMzl3rEylVGJF3NHqmOAM5oCen8RlV
FROtz9oFWIe5YbABVqeqMNTJL8aAlCI28VnjDnLH6YPSve8BJuFb04jQTKzwWrUDIL0EScYVzUGN
hloVRb1z0IC+zsmIPk5nJRRtETFW6P4rouPWogyjE02582E2DYB71x92Y+97lzkj9aPB9LTF7Z/h
SCYrpG5UdtcbdfMDwZQGimTMi0eRh85HkcnyxVAR6uzJWGqGgoCJOIisLvrshZs+5x40bWZbzMNW
9cA8Zuf2xXjfCaHQBdqtcRJuo17h6YeoXafx1fSscWDyKOpzMnWt2BSlnuJeKSX6LwKvQOvlUjNn
doVRk7MlB5m06ludkUtEMNlNwV6Hqo01zmtd6Wb0LkqP+WVSTVq2HZiBwemysGA7aJVescuSwCqH
mJwBi3XpoevMHBdX0at5o2GNNo9eP3XljrFlpRMbW8IYk6V6VkqmJJtK2fEXyHKrXpH0VRA0VaYf
plTZaU6t+pInrfUZ6/r4iKEaqJ+aQjZ9w9iUhxoRLlHk9YDXjpCmp6Ir6fZmD4F3YSs0f+XUYKoR
aH+fYhXJp6apM/ztXIU+G0CrutOdKG22vILxqR9kfinrJr7N9A6NTThJfx9jitmZSAle0ohJkQ6s
KnE9IAxqNDeeq+ZnBZquPTj6oGvg/0dND5RGgh4Cmj59t7seJarPoME86i5Ek5XdipLPTO81lA8C
lEfTE1SFzA59h24B/VnXVcfMRU4uHid/8ron5SwgWW628TV1pHdKE9+nPvDbUG17GRY1D+xE2d8x
3/AJYoZeRw1ftc0uHFKz3sqG5ntDidbvLCxYp66wjFsGyd5jlnY2oDJMD2ut7Aho8ftivoQ0Ifkd
6omKS7oz9wkDmIsez/I49iJudwzQbcTDWFdfYWFlR9clbGhZ3jg/aincjV4Wnha0ypSHJJyIsxLj
IhqHPLj1KX1e/SjVPQwA4CXXldKielP3yh+Ymxh54DQ0cJ45yjSoGKQHohKswIdZMymiBxndWRCd
0fzEqf/CtK95TiGtfDi9Zx3doafRhZ3vgf2dILVU3rPqAXqgIR+s1SR16921E0fcRFZUOUBOBnp1
f8zVTVPOZLpnSlmHtqcpB4W+6AjMtlYvdhV3H3EaEbidu5OXQ+0doc9SjStzD/geuVLkCH5zKHo0
KSEJQfGxqaMBwn7iAo6ICbBg/ub4uHtGUn7FNsnM/03dmexWrmRZ9ov4QDPSjOT0XvL26ntNCMld
zr7v+fW1btSryhcJVAE5SVQhJoEINS6JzbF99l67uyJ+6+lmwS8qfMlprt96rgBtU4Uut3ls9kgG
GeRA/NRcsF+VbSTwtGojPEgvzn8vzSDIyUbWpeQOX5nsuvgXW4fqFv6UQk8kOBl7YDg2MrTsXy38
jjuXM4GNSVwnLWMDSr+xUtqbUsa1BeTiXVyRRi9cUTAnCo+rsmzXasfLZPnIhiW/bfCETtvWbGxn
w9ZS4nPqSw/KwvgLpZ+DVdRdayIXmICo8TP8cEEmCblg1BcivusTDxtVPFOcGX65rBduAVaVfAOn
aU8dFu33BFLpwNnxOrmbeWG8Nei1tyD1zT9kmdaO0knW/JSxNDkrdSe6mHTA/O6thlxR1iQSpApN
wu6rPRspVjca1wwyKsx4ezR1bjOopmQJ+nK1kPychfYsXEHPbihyWh6mYWEXwZ1id11Pl01axRzM
ks+oF8WBdjEW07IevvJ5qOkGxC0oUYA24BGoxOBxVmwnuBKw7TMKpTbX3OTV501nHKIXu1+w4fds
aGWLALmMIOZ6dXTyZn1nxTDU9EGz1RY1NWlMm72dPJnMoIqPDZPXhimUxHbsskrmdX/MZkkJCxSX
msfRZIrfJO+cO9yA1qdhjMU9CdlqZzXz8JpHs5vc4+eiE6mXkULjVFP5Sd3cfGArNVvbYaoh5A0a
6F7SVm4AutIDoD/mk/OMiWn8gy4kCx/1uvlUre20m77rkIHDlICwbXBC3yZziD0sYq0TABADFanG
xW0CtYb3QzuuZuAk4ON8t3d4anEe1W+dxqY1WVnI2GqaV4NfvrW9cHrKPGc+S0PKQ0Qg7hmVCy6l
cEd6u12FL6kfPrqlm6jQLCr2AoAqcShd70Nj45KwuqixvepR+nHI2YhZunmroqv3LroiJFP68KpE
hefEaoeS3JX9e45T8xjFnguhBGxXP9aLj7jzmbFG3YSN86Pm5JuSHgO0TI4fP4wKEtKEXdONimb7
rc8SqBkcKrlqY2bz7towN1lHW6vM2i5kF+vjZIfI8cqoKpsANk46EuGL1cBAyQeaMFu3ZdMYu79J
SAD/lqIXr3HtGizK0XwV1U+5O9+uXD6/QwKwHLxGRh07zoueKgLItXaPiX/1zPSAmm0EkrIVrpV8
PNM75/o4edlr5qhTx6rPzSBOU+cxU6DUKbUGTzZ62a/CTeQfNwn7D47UnT+vC36FxqooWNN24k/o
7OR2VahvHaJTm9IjcB1kxJ5I/LPWgVKTVobxYscJpeAsaRAS3WxoSh+TCBz8xkW4DQouGPxedRov
AY12loAOG83HOjGsW47Ya7LNZ2KOAdk86x3dPkvRZK3ux8VdsSl0zqHIduv8WBQAMLc8EUYgSrPp
3q3UqJBvLFvvZlqppTN7uSz4YYb4u0BZPam2NaCUjHH/XcteM6h41fJpSqdP/cWGJrUdDBcn0oA2
6OxLLVhW9ObAHErAct0XiyKMl/FbvhH0mnJuzSzyi9R9nLKipUdGVi6pCIBlrwxRK7tFLM+/umZp
3wey/idq3F0SfdQzkFdlNXFLip8Ece61LHfxVYcCiqZI7wYHlggrLdX7tTbi1RdZ32o62UEoqVa4
WI552O2mqb2+/VZ8lrxWTb6fREW/URiz5JaeeRfOFdSqyVurV+tfEQrlJtXRNRznPZ2aIT3ALGke
RoBPQCLZwFHCkvAlL0nFovcOchg+0LTDnoyawPyiveZB1oV+DLuW02AoNXwKCqRx61zXZN8GzE1+
ZisfsJJ1qU/Ghyh/H6M/GQymDyqiyJImWlIoZNxoEuExrl4xebA6jap4qcHmlFkTuDHp5rdIpdWP
bAtQkFm/8LiIQD9TXAQ9rt6HQ59/MSiEj8s4L9HFZenGhqohZMBtQzFPkBWJg9KNC2Xe8IBeeh/k
ff+ahYTOr7Tl/m4gDn4uh3EMuAXan2JQ4nFCYe18UXv5Q7zOxotsTO9VjjPAotHzfgYidC8cl6ez
q5TxsZghCWfqjtaHqUqHD56/jAt200t7W5Bu29N3Be5zguR5NMsIO06yAPsbeMe8aZjUPehWG15X
hN6QYaFKaByBpZuT17L6mjYxKhDto4kzjYVBUobtwWX6P2lnFM2mGmPrmHQ4KneonhDJCb2Qa7Tj
uFn2oUV76WntdXZWg700x8EWdCCjfTeGT3ms92csx+JX17p0DgOxKWXQcZbC3rXgzNPxNLeC1twq
MUiWtrF9Slgnss0y0hrjOaCgkfAuZArjq2o757Ck+ArBpq65So9xma79jM2V445PuLly34ERCfdR
kX3q9h5XGthj8vgKi2k4fBE6IvALXXiHD5POsTl3gkgS1t7P9CccKROT13Yg8u0XQGdkgAaEHOt2
pVlCbawKb7vpqmcQxQ2tm+ECXdhjJrjP6UCgZzRbvUheIFga4T4upiEPIEoOgTShAdJpjnjMSYXK
pRYdvySe3dzEa8V4VFcJoGUp6sK+7UnfhCclujG+cydn0ERPw3A6pF3SA4JX5UPvkPi7uIqZBAIU
wZ29RyLX2nXzGidHBTo0fU+iui0Oqg2XZVdn7tJ9FiswNg9IIiazZVDhJ0w1MBPOHAmHIam32ON2
yYS4vxm7jjGznZtkKySNFPG1Tsv8tPTY9fjo2wnQRlhLNDq1eBde3810yFwxnOylEG0g6eU5VGyv
9j2dbIoxUM9PcUliEL8q5v1d3NaWCzlkiNKbynYmZ7sWgk0nJZO0YgBfMXwc5nq/sCoJT1YLaHgH
+YB3F9FUJzyVzbA0cpP0ZK3Y0WvcXsSK8+5jzhi362Zeihu2TNLZGk2sVmz7U+/Wp9IsF+8QAspj
9a0KJ37lJaW7oz33JWOOOU0XFnYuxrMk6cbiJdZsI78F93D1EOGj9EtdY+SgDpo+R7PT433aeN5H
ynBnb1pw/Y7f8eMQnGyTZT2IyCU2HRs2Dks3VA4uXsPpd45sqfVb3dY4J0X2gc/gWroh6ug+zmre
ieiRn4Y1e0DyzPU+RaZMIfMNfptkuNlzb4KLsVpjis6oa/IW4dCcZV/wmioxpeCXZNY7CofKJh+J
gVB5T5jj1xK1FvaFSbDry8wRsCCK5xP5d0idOmJpI9VCD6LVGPTp2PnjEHU8m0hzZudo5o5lamFz
TSoLOtyWbu3xu3PcIWd6BxfBW6gtHMCLnGsOSdfCVuzGJXrtoM3w93Bx0OOdicTdoq1c3rCiHCP2
AUABN+y2TcOnK5h+7KqIZ+A77IT3cwRQr+HRDwgL3N0LAEZOTFlat19skMoj3aGEVLQTXpw6766F
COwUNnlEKtZfCwyeKo+sxyap7H3Ciu6YysVcvy3BrwNJsz1zXRI1MELvYIPs4PMrR1TBtHbH2izn
r4gytddlSfq3pYn6dM/6Vp6oDrjCOIgAblnL5B8UDWJVzkAQm1unEmYBjRDHjF8CjshvvWFoeC5Z
buHtDH4woKqZd3b1ugCCziq0pdINJzrrOez7XRtSX4/1IKaoAOz26E/gEHhiN54O/nvVzf8HbYPC
JJtGrcL/Tbv0f/I4+adu+R+f9Ld06WAS9K7mQHTBv02Cf/eC6L9cYVtohngE/4Z7/a+cmfuX6zpI
nVr8qzBE/sM+CN0LNdO7hjOE4CvK/4p2efUh/pt0iTPGkeiqQls8Tbz/HJZISgXrwZPNPmmvyxii
JP3zAF/+PR778c6ap2cizcZjafUd1jD4eWeqP7D3gq/OfDWlQDCydvxqYaIf4fwMGHIh6awrM52w
+x76baIeZm3Oj3x5uC/pVN8zAeY/qdbfE01h/rR6RtBg4GCZZVf3NaXKz6zpKPdsRPdmYf/6qigp
9vFo0RIZZtk9QfnHrOJAkAuYEBxGp1fqpc3ATEkhc/gZfA9IKlQM751jM86lCZIKMxkeAcOY9tyI
7WYGjut3qKKob80T5+o4iLv5Kr313iNybuaj5TVPdkExfRelRUDmR+IJ69UhoSdv38MzeZPgYw6d
DHFrh3V5oQop/nY1ACjei/33gPfrOR0kVO4wZD9ma9Z7vPQdlsYFshoicCg+M84P0KrUEJhYCi6T
mKdlK9ehgkuDC+nTYtsKWcyD/4BCOZofFcTrjRnWrNndSLTUso/qRvUjz8LlKhW4Rt6d4wbe4dZy
QRPCTYIqtfnvvdv/bePx/1FVELcxkc//8yqDNGpMSvW+/fr908X/9lz412f+bSm2/6KQ1MOHB5IT
R7FFAO9/PxMcoksW9z2KNh/0H5Zi4f0lsA07JqE94V5XIH9vM4T8CwOyxzbDU4QQ/2t+YnHdVfxz
l3H9FgTKroxA+H5KXx8Y/7ATa16Ao8C1gdzJJf8Ug/F6Xh2jpB+38vSdTTckvAZRNTvK7aqdbfZp
kPeR8v/xa7v/n9/wn4w/HrT/2djMP8NxrxsVZXFrsKb593+JieUWFIhH8Ep03Suz5oD/0QuPY1TI
54GO6ssMaorm1E0R0qBYVwMnC54lIuWu5H9KdgaN5vsKJ8AnhQysogGsAGeDuOIXkIOwoC3hcZV0
0CyeN9zGaUKCIcV2Gtj0OjzEXUtQipoifDlFy8hnEN2YozwMjDajxFc5S1Ci921jc5jehbQduetZ
gAf4dLwzhF5FSQIrnW3Kx3OAGuhO5n08f1UGVrchtW8LXH2Hq+EQp1/XW1+mMvMbhSUYUapBTIEU
25xnjSJFFeu3ZfXrb5G16tnjItjjDhqJaE64VSD7EiaNswSsxVR9947bHQe6Le9iuxcnsxKSc5U7
7DQc2vtIW3CBS44jZmqd8ooGBtjVHH519MKzHcUjBYRLIaXQ7wKDzLbSpnyJJw/lsc4s3H1WuFlH
S16amJQSH2LuaSzQfjXF7aGzyV5GhjUdR1cJv13yXblEi9/YzXDGvJLcspuK8Gg0deAMzTVnQlvZ
bnEmFSATIqUo3T+rxqx9L6mox42a+CkvJ/UOfSQMYK+3gdWaoGI7a+VHa9hMcTottDHdYKVLn4dp
Nt6mqRl3gDJQlm1wFS3RvaCp2JRbazv+borUDRjuywe7cBHyQ20MrPSL9pRElu0LLTnyUDEbNwe3
NM5uE0N5nGkpYHV151g8sHFzR2K7msleFsywhmpV4GBF3WcYdDZdp2GdxxiCIZz4QG+ybccbpNMd
57mEcTIOWfEPJLOmok0OFuwcv+6x4tZZ1r8nOC/gcND8vUYRqJ7SML6dlZeXO5bLbaG8EaA911PC
ZbXDiJIFNdr79b/p31Hbe/sJZM7biuh4ba4bl5vIxnibx5V4YG0h7odinO/MmsaCph5nXr/QIQqv
vEty+kPiggRNTSzxIc+V3uekDB/sPkyDZjXYR2Lv3456Te4p/KRAWcgIR2iiAlj7LBkbFAMV4xeG
OSe3IzCMQzXV9WteWph+E8xHZZ7FAWGFPxb2j0BMXvEMvBNczNI6iOt8dcpi9GGEYHmZ49k+Vqp3
92VJ+tLijEUvCNyLLdA4L2gjE8f6HNaE0OD6twAZgwziF6I9zmuM1m6r8ParEc8E6uwtngvtGzXe
nE1ZLMUhRV0+LTFixWDN+i7pDOtxJAdllt3tXK+cfcdK3biVveyvVAhe3FrcRG585/GQCaRr35lD
QZ59mreRWQ7nUVjJr4UNz5+Cg8322l4Fx3sN4W9M5h0EneY94ql/sIZcs5IZ65tysqnTLEe1Q8uC
s8I/e9twgH6MStv6krWbnHTKvNFPw/CrhUL6yJPZBbxVtZ8S4YvimDTcQjoE81UnAwqwsiOdHV1b
bWcufqRLZxiWvYIWNPkxQwxcJXa2uzAG/4G469aEPcwJQGnLgRnhPPJj3IW7NBqtbQys6BryjmCI
la0DEKYxr+HSYbSI21uTpgUxfLVsgz6WIqlWBGdKnDY1VQR0biQYqz4K4Q4Phqw0K1G8nVg72WNn
CHJUf8Cf4+VHE5gV4whs1bKHm1iepqWIP2pRjuO1sYf7mjN7z4jnYdjDIUxtMCXt1iWuM3VybDu0
A6v2fhYqHaNjXZZNMBHlOrl5p97txOsPbFMLezP21vVY5Og97B/4gngG6j9JlQETCNe2/+N0uPSB
FfXvzMLDodbVHWde4NRTdygNU2xIyIA8ITaJiH0tHKACHaTlaq72R+5kcPB1HFXvdtHmRy9FvfPM
yTmGEw2eS1GUx1iGU84Aiy9g2wM3Zfc4jWJfhJM9H3W6jN4Fd7/IfrShuuFRpIX9RHuoNe/62qi/
Om6FrzCU5WuVx8ZNE+kSbz/EBW6hlu9WeOv0UmO9NXhJhfZrNI7vWeEZ58VVc3g2bQhcWk+UZyha
hrZmYk3WVl+vf8QcSJuzW7h+WmKEglCg/+A4VY+8Cjv3ODlpnj6wIKmOvSOSp6FtGAkE2FzfEg22
OrrPmz9R0VkI8Ymj38pmtn4tk7sc+5qdHSlpfaYTyf3xCkfYqK2o+oYr1CVMbbL2BueNJxkrfVPO
/FazDJsTsiCO3s5g6ZFxev0obN082jytn5aiaQ5paYwwdyOp0J9iUOSe7c431hpaVwdbFDhUuu9Y
UThQeibntYvZpt51InTS05g9Gt7owvlNwStQOBVQkBZCffHMxnyDUJt8TIqBfdPCJSDXk0dYxbEU
qU9SI015B1k+pbElKdkTdLlrBjkBCtBaoGsfRGnB+RdG9BBPanrP21q8YNm3niqWbSdPdGonrbm6
C3MjeimJouAa6IAl6pEvwaw1pZjSgDzmczLtKWfo2a7bLqQ/13hQi4S42wwUDE5r9eNcQanuaFBC
KynTe2nxPtLnBcz06odAkF+yQvbBui6I+2s8wvZluzQfUhaC/hRFx7Cr5m+qWSYEJVpIIll0N44V
FVs4ZDRxFzbrCH7BiJ+8Pwty2oY3UzRM+vYOxVqDfcNOsrVMjINj5O7ZHeekEgpwb7gJ4QFDNQjB
VrITmAZ5cJAPp1NXpfGJcabyFykwuTI26Gcbj928ZQlSTvhiHHGfNSjL0wJKMlvpxIXFa7WPfNZO
pQtB9uF6NipU6evcdM5TdK3zq2Dm+WXXdu91qOEip2qhs1n2uzADxaVYVe/KhtJrjk35PqzW6I51
Jdlvm2vUjlv3otHyyMNfsSpoSvZPbB7ntnzX5vCFuLbBB3aSzjveRIuqr5G9GLvY7pv5str1UD1n
v5yX8Q2HRHOftxBQ2QLmmY9W695iUNDrfjEHnfpd5u1dg9YG5JqcE6GyDyldFntlkjknEj02txWJ
yq2rBsBxQ1HTeWOK5b6b2QifsMIrLKTFeB+r2GDlSlTtTOlP9jwObNiJm5t7Rc7/iP8hvR/j2OoC
2siXn1EWubOlFSp9I3cQ+qWhMC17aedYW1oKdb2dCN0UQVW4JGhmukzSkH0nx0q6tZ346EIK2XIC
nVh3EHk4qHmCHVm1Nb6GtryUzmDephNhAubb7HWuYgtBK0JoTSfQZgePDnPKFd2UWkfpEsgSqzrw
I1NiNQrjMFqj+B6Q86i7ufLsWxbQTzxtYsWFOww1DMYk9Nue/pYxHE9Z5F1aYNoYi4midJiZIph3
5HgUe8ohhxFKdKbbj7o3Tm4KhNIyvLvGcmKIfqvMf4bSie4ynoq8/aG2bdrZ5vSA/QanhG3C+qA8
kezdaL7WZuLd84JrzpU52WeAm/3OtOWws2fJNTFX4R+2UnmQCcu5m2FXMUA7Q4KhwxE8RWvjleAi
zxB6ccJ569WluacnvgucXDWP66SBkc29tG5bmhTJwq/zl0qpFFx4iu8pXyHpi2iHo4RG4SHvflob
D6+O4LLg2Kl5c0bEBtQqfCWm27BlKEgm62zxFwrSJXMCqnuqlxptK9C8aOBKNGQVktC5WZBwXsXQ
3jbsvXb093T7vJIduwsON5dWRdlZA4jlQSLz4VBxxvC9KCYiZ6vlwZ4Va+28POdV/qJl8QMU7q4f
4QZkIs62zZxBgonL6WgkrP5bOjWIIRPEFv16lzdN8Wtc2uGuYvoCAonPLF7BElHaPJ0c8U2Ckex6
b8ONy7ZmRMGbZdgxZ6l18q8OjJ3ghYTRNFrAIiZRRIHtsGxDyaoyPs6JOsWLvlAdcc7WRN9EDo2T
NLjia0sBlW3Jb9CxgUeJkRFX9kT/1aYbp+eam2lH2U+1JalYQzfMElzTpCyjhYk2bCP77PaD/WCL
Ak6BWYMiFKDnHMPFE83dfh5IqpYscFqAn1e1n8tQbYkJ0O8woxlXaj6Eudb7rE1ObtazjsJ258ZX
ryzX9LKdSkUKRXjJiRqKdNvKdD63hBZ9kgZ0Qa8VjlbhFBhjiFjS66XadoviZvvrOh+uAYvGZIZY
7dHdUiSA2U2n+TFcC55/NBG+irCuDKIhixFUHXg5svW4jIjz7btwEW/sf+mraqL8VM/r4AtDRDe5
oexATR5loGMqP+H+W2/YtepHJuD0CI92fM3KkNhaWRuPYhzQ4tYm41nJWhjZvY0vbZ/GBKsaqHoM
bb+EEByhsYKAIO2r3xZBeMq4+svcpOeuCBVMofDbnHn34YhaCb5hXzSem3Qwzkh+bJVoZjsQr3SO
sxzYieMJe3KxdPllRLqmEgywo1NaAVtn11dOfTHjUmxFUvnapLXPsjlFmgXbjjljTijbLwGUBO+l
FW5tjvjHzpKHOVsNrM8JRh8x9be91+Ns9jK2ffFWuaA7pd3eVvJq37kZMjNAf9+xe/8g6ndXTqY4
ZDAGSATtIqOA7t8ewkxcX0uwykNxrYEv2rc28t7JTPpyTL5ahI1t3sLDjujNfCSlXRy8HoM4r5ny
YmeT5Dpuq6PnZmxp4+KEOWM96zY2Ake5+aHAMWkvBAiQD0memOSvMPtFe6KBT6ZVEldZynErYfz5
62g0GRcH+39Tcbha4yL7Zcm0ugD1g5oNW5SWroFnpDSNA6Fuy1cYK/ZEGcNdlTnhec5VERjX5JMn
OOmTOE6dSxJJGEQzpAYKi49tngF0dI6YFM7kLQ6rVRDEoAbupaYi4mLajvVCPd21RnDsMVhJ2oT3
VBPBE2fbCaLDJSe6W7ukfjUmcg2uxRFl1aSxi9Wrz3Fljk+1Q8UJEc50AVDujjqIZXrqi+annFV7
Q4zOACHtmmXAA/5k1i4pQFHAO/PqI6nRcNtYc+ZLghQ3IGBHX5P3/2Xx87G2H7IrLWG233FONEe6
ANx7llNqhwFO+CV6axfldQCI3dxpkgMDBFeeedW7Bd35EV8d1BY5e8tDAZoIldjQ7a4nXbifkrIi
HWDyq8/gqTvj5BFLMqKIsIS6sFinUbPW08VZQhf5uLqJEuobVvFjWxSQwpU+edBJSOUlsXW/JJhF
eogc0fDD2o2wkVlXDOKymQmN6agBLEVxI69NYzupHCqZNMwAXPhECfZIJxcl3gfeXIdMqMPVRDPZ
7INojwc/SZSD1XcZYXnibfujJ3lrlMrbE1M+KEOcFen+DbPWrhnHj0FOGHshgWTHhtfBUyvM5dYK
44/BkiuZeOPVSjx1V6Rz/2UoqyZFtaC/M7bgAG2OVsNpjBHFeIKefVNZ7KpSwvdOVesLXklq4JR8
5wFOy5XZqFeLLBMJFw0XchGv4P89cGsu1Nw23jFDb9s62y5V/zOYCPTwDqqN52BgyAaQKUuh/2SO
PGr210U2b+OpeG50wnipaJtuxuuOwXJ2RUgUC4JCXi7vRu3Si3p1BZPDZZGY23n/xCG72+V2cpOG
Y7L3RH8/tTmjHvn7+7izXlgzLltntkbINCbzokAxcgS1qlaX7Fh3429KZI6UJ+zbedZwUPKROFKb
hj551UB2NIG0VdVulRhPdnaBUHqupyThdiyfrv5povKn0Os8tqDDrV69uSWfMnj+UIniGV/r/A43
gdQDS5qcAweVbPNBU6y472vazYJ8Xqojxt9hZ2Sa6kQRy0PWUdPQrGP0GRGg2nKHsmfpni0c59O9
xJUsmt8OOtcznOTqKBh9jzHKUEArxoWlOAdq3Fs7c3bcg01ujbMJYIMCuWUYqvoVB9B6yNIFX3VC
K3Qg6jqF7zQSQKZA+iIdFDOODeFudFb9tMZTsg3Ndb6pYIujZUrdHLVO2U4bc8K6eL4YFHZsvCmd
+UOZ0b6WtEI60lmwPddW8jKq2b7lOgskcV+6LrpLSpnuhiIEVK/jmko34HO7966zjSP0iwTcrblQ
ZL06v+o17A6jRwwuTJ8KWcV7h+Trnqrr7NWgvsxvVHsPA5t/VwKlKGNvQ72NgT2e9zxzMs5n4sk2
U3j9qM2RjQtzwrI61P2ZFMAe1zojjDxNH6oaZ6QDCkF1Etk3WCwyPxpjA4k4z+prtJe/2WGaLffi
RPWVWk2yz/FVysfRBDD6cRmjUDXqt4PUtenw6kLFTecHtvmN8Fnccxw2YemFxKUwxUdv2arI7rlV
eSotPcNOTFKA8gY16zjIgO2S5oyzzzYlRNBnFvw6Jk0GqmwAHsEbOVkpVtjgk5IGzwW4+Tf0QozR
ZdTLGfy78RpKumjSmqNH0BkCZI9SlG5IN8u6TY4D5TJ3jGROSIv7OAlwzsA6uDrLAuPUvGjn1rEI
LZE0bw58ihWYMukvnOXla0Im8Sh63fyhO4vRMbS7y4QDYF8alvkgSxXdwT23oLW16Z6yTgYgoRsR
RMnAm3esC3Uxx95vGf4sFpyQCFEpLnCQ5RMZiuiUL1I+8+Av7wZtxfsxItaJ+69p9jItrGY3m8QG
N3mDVYfDf82rD8v6Yje4L1UDW3pbLTL+cjXPC+DsU/YihXsz0BmNmDmVODiw7IvZ/gk90/omVFXF
vnSt8HeYJ8UzY8hHSoE7puP2QQ7dM9zb0R+vgtewTod+Xepdxux8nmeTy1UhfLm6HA8gdcsvULnO
wa1t+vCi0IRJyeo0Qh7ETJOt9+T1Zwq9c3gni+Mim5Fx5NayEeg0eRRgJQAc0vrWzSzqDprZoSi4
fxmXmOZd2b5hYW/A9BXlHhKXvl37KHmEFt982pGLQdUMnWlv4caiV97G3VErDjZR+BzTCXkkicO4
M1QbcqLnOUlTHnhzelqk8ydh/L9Wvff+teiaJ8EMiWoE5f1M1TovE1pMcVf3orzoq8vWWe91pL2H
2HHnLQH0elf18ldJy9mmVYl1MxfMxlR+WGfo68YXfRt0clbep9cL94B7hZYl5drbZcSXVnpXkGkR
5ulxHqU48NblaCxx8pvlS5oLdSsFl1/pGNFpmF3jwMGO+HebP/SJprCOxdTOafqLYFDv3B7k34oq
GYwSUwdRaON2XGYPEcN+jmtQ2mUGp8NuQZzGhh79QaZI+C0/fF7j4bTu8CObF+FQq4x3Jz0JN+JQ
nGUeyhA+t76cH4WE1QLxm6znNImTDL2nZe7tc1yWJDKFuTEVOckR8tjc589Vnt4uPTHXWGNIm2Wa
0JuY0Qu2VQONerps+x3bdJZJFdKoHfTeyDOZyE119iqrj1EBWnDXywRFR2geyMJr65eFktjflXJQ
LasYVIJoV/68itQrl6G/uDXOXrADNVHnMr3p4y68b9d1PS09EV3X6/NtVqcvKtIPuqNOabC9L52C
Q59xOaJ2722F56hdrAdSsdk5iWmcaRKySu0rocd3NVYIrR3pgqYCHJY9hJjW/JUFy1NLtHkrjSp/
tMyqPTdd1VOsp+NXJVN9AJTHSDN3OJtbSk9X4fhNXJN0d2tjX/TeJhoeZnZNN3S1pKeUe+2rmENw
ujlRFozHLdrLoLgDIsi2YqDAnZ17YQYuLTTRCHlwhhgmNM9T7MOgFd2FlSC0H/y4qQMPLyzgd28B
U5pIjrrcW03h8WcE5/BqNjHtKjjj1dGd8/Ib/A+ElnqQ1YUvmp5Kd3npyWIgEMpdxfPtxlvyFKfZ
OBu/qD0kjqlT2nimdTxGNanajQc//F0lrfHMud+6rFzKrzA6CGagscdkP+KOXEjeNfzUdv6pZ2/8
FTs95zpEAw9cGnqrWs9kX5IM9dYeXlXfJXejMXMbLxl/BHZMU3xLDDnFj9wnjJk5YPBnujC7YzxX
+EWK1hxxjDrqhWhzDC7WQacqI9oxUTIhoDENyvwuUq6BGyGfPWxIUTGR7XATu97aQPJfiAG1R9ZR
jHHlIJMdJ2r7QB1MAgS4qiUfKwu6I7JpfE+d8heYA2PbL6C4B9sYN1ixUt9s5K+cgY+F24pgtTFS
JJFuMN3zKPuEJ0XFf/yhLrubhfJ0RkpTvZdpxr3E/212NwbknW8sZMS2sXNUkJRG9TtlIN+t9Gsd
3TDSN2xZ59uhxeqsRnbCLd4/igpy9TDgguVuB9NnBo3DXw9YonUwgMayf8LckbqsfVC6yg2j4vjD
b2fYlXQ0YJZOkwMBsUc926wh8xDsYWorA9pkmt/0Bu5GlLV41+AFWVcc4lvXaArILBnhcW6/FLeb
o+fYd0SovrHb92Ng52Zz6gyCeBKovy9RZQ/ODD6DpqgMzlLoTqyiJaZRzILDSLmoaUVkU9oZdjSU
42biAo5W96uMzWiHVz0FeW83wUow+VjJSt6ZY/zldSh6uBlB1BAc+bDrfoBcB++GDMf9AI6J/E9B
kTQ5tc3/4O5MditHsmz7Q8UA+2Z6+0Z9c9VMCMnlzt5II42kkV9fizeyElmF9wp4gxq8miSQyPBI
uXRFmp2z91pxCsvEJ0i3kdN7k22KDjC+Y9d3bASpsvXSek0auRmmot1HoPgvYqDMp5OawmLej3Dk
rQBga3tyyLeudTDjRPbMdNc5RvzUNybP+t7/1LEihw95Rm7NaGhvc/hCW80I7MktYnAKufDcF5ZN
8y5NEXqNYsx2Shv6I4aPUM4MHQqMIfeibauLgDG2xlJuQneMssd+jJz9QM8ffi19cDzMvBjmNWGj
6JwxluTWgT3lJe1N9RTYLHy2+IKTYV3ZZnb2IiS/XEupRBGH5p5WBOt4djTMycI6ZF5PhQ04FXXK
ZauWQduqWZ06Q7Bd3tQBFw9UJkR5GgIBNEekeaGtQ3ypX1LSaiiXxay1ybNx2NZe88LNjFOKctt9
CI7wNsdPsaumMttM2KjZv8VnDiL5Tclpcl1JLjTYOvyz1/CoxSOKm5nd3y0QCu8NAO52qUqjwnOm
Q6dUgIq6ac/NbGW7ou/Mp3S0hz1LBsacOP0wK3NqIRglxvg5HbR/x7iSv0rOUhDloXtmNW098F11
OR+4U3NrLWRntmsEp+s5oPFPSWS+EbMO/kyToEbL9oU7IFs3faIjgHLJnfn0MEt9SWa3v3f65sGA
cgbdSd5KOKxHt4R1hlTeq8+JgBdLv9Sb+Qfaod/ljUVrda7/yNG3KFv6rFSC2unhYPnGThllfHCS
kv+/umvsvcVB4eyaOJOrCYHnQIxnGw3GGKwST2QXfr6fky3zPSBUm1cXe3UKPBbXNo0DJO/eTRd5
cIqxh4qElYLBdhnTMdxhf2duXNeB/zA7PUjVwmel2FpYkGbtr0Mp+g81OdNDjmOewHGALiflYtA6
9TkQHlTwxvd42bAz5/wvpzR7UjKUjIvzzrl3Ep7QqjYf2DXsspHPb+VNr1bpFT+zUWUvXdQGP2zg
ohuvt05ZT5VyxX2bHkcIqZUeSWaV6xat0bvBQvYeTQvtTkE1ZsotY2MWTvM5RrlCYAyjjuQudGIi
eH76ixkoNw9bOvcJkXSIEdBC+cFV9yz+9bFORdTQfnbNc1Jl/GrTxlwPhgcdSxkfiNDazyjlvLH2
68E8M33mbUOaDRQww0quCe7o753Ryg9kdoge1r18YzD0kaXz96ijkte43746dloeMwk7Z8XrNHu3
uH++qQl2BU8hczrQoUZC42cdtymTilXInWWTRNmwLQotHsOpwpgpQv+eNHmwtZtyxLRdIGli0qd2
FuQldyeakUzGuNDfuYkqA6ehs75ecArGErs5aB/ZeFmoYGp0u2Dt9CE0bOztqRHuDantx9o1h5vA
YPOqeB49EfIw1jOT/g2Hdv1Qeol7oDycvMM3cl5loZB2wtLjeVCahDko4ILmWubjSNysO5i+zJ1M
csIsvFS3HiGBUAcjTBQkvAkyMTFoH7KCZuuYbJRh0UnuS8i6wibkI2bfRhEZBvnGl77YhkH3J7eo
AqgaKBRBTeIMbVHOW9uxXgJm++vMtKK9z9MUfNZU3Ril/eANYt51Pj4Q25uDu4kYKPd9rb8H7Muk
NcMxfHRZflPa8GYQfJlVPbGkjZ5tw9UPLLD9bztMxdmYfPZqwhxOeRtM8zpJSvo6dRo+k/yHRu2o
9445dLFq0S9B2dfFjiRNu+dVSt4lm3rY0tUT4b3iRnPmOuS0fEFzhBek2+mmy2XGUTLU+askr/Mw
UoVB+t27+QUdNTsC6lKEm7JFlufMty0fiDVgJtohaJWOXVosnYv05FUg3as4DE+55901mNVh/Fbh
QdSTODLLGNZz1lT8RujxZDUEZxBhMd9sAaWsybcj+hYtqQ/HWaiWzlPYxq+Rhmidtjhig5hbXIGp
e1MBAd5UOn9M2RNmpKEObkhRqYui6Yw4mslrqcVdUSOOEm1xdDjOPoogY27AJeommipwOlyenNsm
iOoDc79fYde8uOYEpY2FUWh49BwqljYgOftDjib2PW1lsOvKKtp7rlu9WsBOqIyxkwZbJU5W7fdn
ZgJkQlxPbzLLlpey4BsVdoDquCbLcNWyqEbp5HfLI506EYCPcocDMz/YRkaso+6J7Ziy2Y2QAQiq
9/Q+Vg2sglXqmuUjj2nUUazk9ZY3R71jJ2mee3v43bQWs54u8Q5xBthpVbKKvOO55UGwcqYTeQKX
7XSiXwaV6LtQ0GcBoDI/EbEstzMdhvskssST5HDxNKrJ3iZp1XxMJdrRVdrr4awr+rPgc8I/lEfj
ywBXCpoyl1Im0rEs+M2f5T3rpehNZOW0abKaqUFaG5tC2MXWE156zGFxHqs0sB+tzM/uHNExKJ9T
9LTR6KgHZgPpL2xqJkwtbO60dQpN3MHyz5Pfue8oiDTPs7ljaqi9cz9PEdCEQpfktjL2CYS2f8k4
ck8cVJJfDAk5Q4ATYC8tAVNyCaeN3/beKVTvyyjozYxJZVHQN9UHVHCbrr2TfZBPm++ZbTjbJIqN
7dxG+W8KJNYTKG82B3FdvsR5nG5ZC3C9F9CHnagJnoFumPu0l97aDv30aUhYn68bsDknBYznDxyF
4VnwemUxM8X3MpIezPymrA6Vyt2tQez5hPnU2cmOdw2XZ4Ffo5zGD8Ys/i0rK/or4LkLPvJud8/G
wH2uei7gRj0Vz0VtfFPbC3d+y/uzL+NTmuiOdY7X3idSWzSuBsaKBb8z2IVBQrlBZhAMaisiNrN9
7AoQp4xnhqeZ+jLz+bHH0SGCBuwVg4wmp5/fRLb1x87D+ExCp8EFa/QIxSZo5w8+h4Mdy7j4VNX8
Ho6txNisuepzdWZawDbKfhpr4Mt5FNX40jh7iTh75u3KmcfjLs3r1znQXgnYpaXFuStK/erTFTzQ
52HxZJSKnTXH2g1n5OItypuJYbQRp+8DneQc5mA+MnZgvj2Tq+ERlRnFLjAd90xZbv4STebvw5Tt
XacqZx1x5VxHOU5FtjvTM9MwdfA8GsPjvMzeG7Pv/hCumRBKJt7zLK35OEy0bPi5QcG2swjwBESe
gRU9AIMEMrBbjYxPuoC5wuSTVSeWl/GxZINd6TsIU48UYxTJOOxmFBjDHWkyzpxJBk6N1c1zN+iG
GzNecNOV9KW60BrJp7N7/zNTGeZNMYvXAn40Z8EON27p18cav9pdm/ftvRt3xSm1+PqTmaAgsls3
5Ftu/eaBY9wOMel6cH+LgdkrS55B/0ZWLM+p7027dBg9a02P77cn6xiKX1x+lGqirJARGX71S/Yf
6AaGB1TI+WcRdQPYdpYuzGkJwxaDUfJEysXj/0hc/v+nILzjhWTT/+9J+MNXO32J/6y2//vP/LMX
QwIeB00A/NwnBP9PrHbg/kXe2zdNi/+La/3lX5k+ITxtP4IrG7C4/ZcUvB385TuRGVFGtswrIui/
ULT/O6o2fqX/EoO3LBsjO9NsBxouGfQF+fMvMfjCslO7KJho5AMm84ChOmuiWVQ7wl85SU7Vf3hL
e1uwCYGwv3S62UAwwC7kcIBrHR3plLE4cvl3sJ7Oo0vdh/TARxHczbPpvtLb725HjstH2oj5NyVV
h+kCBXLBfx78yuNXLzQjSHvSUu5PoWfWSZ3s1R3hJ/vFDXLwV5lRCW5LDfCH0C9f7NIaN2Fk2qeF
6fnQSYcaC+zkjUr9iqkR+Qm/ifNLFXrdqTXC+AL4DR9yXu0yCM8sLqOB/JeElwVlBHePwh0d8Avo
FaG9dnI4oXUZ4oRLPNmw/6kTLvEO9JeOZburMYI6IIG2Tqir50whXxk469/1Vhjh2ws3Yeo1qwlc
yY3rus2twwrwpEvT3XkMVO9ce3DZBhXF86BMdVsrOHx54AuiKm53TMrOItsnh6dSAHVjicwTv+Sd
WvTeXYxz786XetjDiIg+rJYE22yIAVifzXvIlsV9WTrtwVtwgKptFnGqmr+iyi1XgASYLpd1v7FT
5u/ghMptTM3n1FLDeo0LDCtCNd5GENDO1roqeH0pnVzUUpKa0rh7ieI+/m3N7hxQ6F8KN4gfubFP
JtOtI6/9qttlTmp+VNcOj3vt8yAp0J/5JEfyLrGbPYhwiG+QgOhzZKR62zYcsQEyzmG2qfsIp0Jb
Tu6az4gRrg1m/TWTw5lMFTAe8pr0HeLB4kRl1qx2264WN85SXIq1J5/LiZ+LKytz3WVcrTUPtzlV
9Ykxn3OLjJYTpyHUG+LFZIubp38Lhjy7wLFMNp00nmw/b875MNp/2MR5IH6WLnreS8b8eTLpR9vO
f9I0/OR1E9827cwtl4zA2S4db9OPrGlWKq8taw0hAQheEDTe7TD0+VNahxb7pW46cQYP7nFL7Guj
eNVkN+jUB8lwM1C9+Gq7nlem7Y6HJAuJlkyoWYhKbZEwx4fa6LgQOlgIH1Fl1vejGqfd5Pv6JJPU
+0id1icUPg/Ge5B52SVpyuIoinH8rCLfxMHNNi5lnojcIQzPoyO7TYa2ovC9x0yjAXEGDUCoL4cv
Dlvy4mn2RG3dOx/N0CRHrEdgGuC7BBYUDpYSbsU6eMM/2txR6o78FUv85OykxD+4GuLR0hldDUr+
bzFFHo4yldnjf2TIvDarptjlMe6XwZxy2MIczUiSWMm64OlwbzvEiJROa75es1rW3LY1XnzgACcg
udMmmI36Ng4gavkqt+8zhqC3jUBVzGoHEM0QtGg2wN9ma79pfGTgCffemEXxb0KS1m9QTazPfU/e
2rxzW1oJcrZIjDBdGlh/oqzpOmjjHGHHV2qCQu4ZgSO6gNFZBBt6q9GmIi5F3tzJvbN0FmhiT679
1iYeuK1Lx9z1MQqYDWIA09s0LjbVtYCBsFWYvTMuzpBzVGhha2l5FH8ELp7mVayxvmN2aZmQIKFF
uDGUELu5XfvkO1oOBjeMpMlguCnRVQZXjPaNQfx0MJg1d/nE/nRbYDYr0XTph8Zi7654IHK2DUQe
ANkv7T74mISrABoZTvhqmQSaC2mN75LuuzhlJM391chp9GiMpif2irYIHV2ok99JrXHIKq8J3nuE
A5hHMb0+mAvo06mn5aE9xhMPRubx2dpgq7PjNjP1e0xbCxPTjowPP9U0rouaISRcsk7rW98PKvPA
VBXtscPm+G4sc5lutVaOBiZgcTHujDFv9xOAbVIbtlc/Z/4AJnEMZ4AwUBe7bxPXFmiN3vdTppOe
rZ6b1DTOQTtXO1KlqqV2kzI8yiUHRTNhTcMYvug/cLlQ3KxIA4Hv7UeXPXc3IVTvDZ9LXufF7KRK
MDEJhD4kIzBfT1Ne+kfLUjDWOu7kf1oa1G9MyLs9QYKpXLNmHzm8aVk+ZeRs3hikdrdl5P6Rk9F+
eVn05LLfrFczcw/wn2Xt7yAcRafe6/XnFA6MS91+8D9doh0hGeZiOpp+QmAnC0qEE9YQPMUFgu2H
pIgNMBluBVGiCNpxF+URf4E2SNW+KCPlrnwieSPs0ip/JUenz6TfkovpZgIrfOl2m8YyIejR4B5/
WyFvFScatVr7WUqunUD3rVFwFuZUbMGfUEA2joZR8nvf8ovw3rAwfGHxVZzHKrBZNZLm1es6detp
DyN+2MdWYr32ZJ1vC6zP2IoMM8+2whdsugLi7uA+FyCG27mCWB8i0lUHsO9Ul6V8ox1WuceMmViz
jgNmA2vnytZoTbbZheAHZzglA03D7PgCvSEpf6QxkMcmXTffkZXnN0YtqI5clP2ZZ6j1ZVpqeiP3
Q2r0SvaIgznn2YtSZz2C7YC6DxfhI1qAIN0A43SVFtFIqwZWCBJpcEZTaL5WgpiQtTBF4kxEl2Th
jJgLccR1dEK0SDNeS5VT3TolyA8QYHxneeiqe2IZsEvgCqvLMLgQTebMqT+Nom6O3MagtEuncZ5p
rId4BpvC+BZXHgrl6pZoFDA+MFXwxNwdloLyK7uCVIzhClW5AlbyrIYTl9uV+a6qFp4wdIbfQbrA
WCwCPQtQYQyeclpcyS4YKbq1AyLAlSrq4iG6Al3UFe7iLpyXmMsViK48fRyvBBgGWsSRx2zDdLH8
5mcFwnTWYXMZO8VbYACy5KJZfyraFAhIQbAatoxcIIRFA/bcCAru5rY0CBjny/597t3gZlgUzMxU
gyA5qCu6JkgWjE3R+wnAl9RT90sulY9nYHfZ2i7S+J0aIWGwSMMdyEq+q5ATmkvfaf9RjVm0KZuM
n3veiu6BUcZ8O1/BOmbodk+9RUplDGMK2mrh7/jtguIZFypPtkRoKUPAw3B5w6HE8KbgYORg2Swo
RkT+ITVt89lk5XqF+wAVzO/9K/KHGKP9xb61vhhywQGxIjTv/FbzHYnKQsI103yHGrfJDpZOwq8i
K51flEJ50CfMlC8kC8eRz/3ENssNkl8h59mDX/bRhchNvU9niRvJUPZdMTv5bXllGBkeOCNWHN6B
N21TAIJdUEdVjnhijx4yuonpLZz1FYmEOQE8Upal3edICY1JkuicP2UTVb9jhhMnLzaSb8D+kJaS
bo5ubO2gg3bM43SlMf2PXAf/15FgrYhy8X93abz9+kmn/3N9+u8/+o/+tP0XFBrXD3gl04mFpvLP
/rT7l8ls0DRdpJWhtXAT/gOp4P8V8geodrlUUOnI84X8o0BtW3+ZgQ8qlhcsV1QH1+7/w92Ri+Ji
xvxPHWrL9H1qoiRkwEc4S4n7Xy+PmcUiaC7mbgeJMXU3Zpuke94c6b1h5OaFX2jrLQQ9yLKF28ZN
5kzEPELRIAAYs/xZuDbcKsKJAFJHLGms56OXWagIYlSd2KiX8HqllySpEX0ZRh1eSKBipWxse6MJ
R6FlKJ8kz+HXwKu9tUrRc1JAuDCO1saqEeML7GRSg7MQPz0X4PvWrJjTuk14orOQHluYcA8MKUuU
uoGn63VXqooAW0pllF8QQOLehPpUQB08hybtxnXbh9Nj1McDx4qMEcvJbiW1MnZbT0jfaof85Vw9
N2Y4D6wq2wF5Y817Hr0MYbHIpCuD3M5Oh6OdlAPL4SFufgwjBF84ScGp2KnMRN30WkQRwHubmdo0
unb7OE1F8+O2bp2RVtbFcCG/Hv3UROO/yTjU1sFmYVthfmRlkuQjDV5Ao6TyDb+wq3svDMR4mg1v
+KM4PNeohyv5yanQeoHWRGKnjcNH20UOPuYAoXxnkSAbFMn3XIL9bwRo7nB0fExoKxm36OXK1CfW
k+qGVC8NGuQcjHDXscUMYBVNJnWnOvvguJH89NJof2mzC+6qIJsC7l1SbaHqJRRoq2Y8kx2lA5zE
I8BMDsB7vits6hWq3BV5joHMY9YQzB2KcZ0gTr5xSqMqPmc+HE9c5gnaKlOYJwPW/6pmT4PJB3zj
CjEc9kX2/dm66XkzleRmWGGQbvdc0oI4KMbg6m5CtVT86mFUrDR2qYRcTs27Kkvy5xDb56oj+QPN
kr83MBmfevuMlzdxdf1l1joG9tQ7f5KyCt9cdlMLyqcrnM+0ATKXNcRTgp4uu4UdKaIndKCsn2wi
YWV78B0q3agqys7EBZ7oC2R6tfQJPG/yHpkjRR9tW2Zkd7LO32JqSfeSqvsv6Go+dhEIY+9Dq1He
Gban1YqIJbJT7hK8E3pTUFAp81KHpPnKvDl1wjH2QThLDt9lQrSQYO/SgXwK8xGcaW25ErasotDq
EHhx3eGjdQOiPc3A5z0ayeTDlOzoIoXQTZ2DGVfzF2OMPn3rzToFT67TAD92CpaKhaQxjkczUOTS
xp6F4rquzEwcLTvM2PJGQ/rejZmGZm4lqt4hQ0Q0JafEiDY0dSWJTzB96c4tfFuuU2O07uEXEYpo
/Nb/cLhbcoMIE5i1+7jq3TdehtK489wObzfXXpCzmpmZR4O5I4kBUpec5zjpydzkmh80sX/hEdd0
7EToO4ifSX8bD0Ch15bMTQY5Ef/UUxpClSNRGFvjm+LTBa8sIBCzixMjxOY5Ampf09CGXtnMY33g
tKRezJwIZ8jOVj4XXT2F28xQLB7GgQDwUNYsLx0PkQO3O6u8tHyhNoTbvPhdjgpWK22mFkM0SDJz
k5BEW4iuM0KcLjSIKHO7Rd8LLfMPuwy5rnxnJAKYN0V35JOp+xW552BFls19bIdM3AnheT++oYUN
mSmgbtNTpfl2ohLGQ5XSw+CcpRnd8D/xkND2q/Bd65XwF6BSs7DcXVm4Cc21RibrNGyCNdxd5kEz
I0R4ZV4Fi7pImauseEAGHXSHXtZr/orVxsqaGJdEymFwVeoCYnKOAvZjGER4OxSeeMMRzqKW1uh0
1492cRKtE2n2KA1GK58y2EZ30XigRTXeDpGMHmIj5FIZ5mlEKcjXjx7bNPiZwn6qBpFyiFdezuCA
UtMxljYIz6aEPGHJKTsrRV3dw/r1YgnbeauUP+6s9kqbjPxjn42JWlW8IqutNkzzWydDuXYMW+fE
aslabJNw7vfm1NNXrtl/C6NjJws5HFioK5p7Q9X9l+lo/ZmNlkv31iqOfj/kO7Md4ifellm4lzQP
XmoYHd9SZe4P3dnxZWyrcQeB7jniscSGReL62aZD/Zz3Sxq8m9PmJGXBkxf4Z3KwKulsqm7w9own
UCR4BGGctZdHWbojWM8Iqiv9jyQA+bPpO9GdC5+9A33+fiUgd61NMrmHXKnqk9UsY67aM9Hjmnbv
bMuhDDelXdaHqhrqbUsy+s5jjlqvZE3zazdZ/IVxIFi/QesZNz2agHRti8RqbhjUzM0GcHH9KuGV
kVnShE5XYmjcIzuz4cw4mfM8qD+XTQgo1E+Pjf7jgMXvNpcEQNnmLmImP/zFq7m9AfnXfeQDeUfQ
4GxTGl0k58qqiFbIiQeV55Acq2geModwh+ier0V9olsyL9C+/XHV41N9ssmPHaHpQWmMfXa8Qf7b
D23ae9z5tmNcZeqOn574AFs7b7SnjH3O7HNf2y6H5br5IZ0/P6TRHN5xciFdEonqfQI0uZaRkaVH
UVNTEfQJt0VUE/1nfORsLDPzH01u1ClpZkoxVk+47xl5hHECiAi7wBJ8wBLUIQx5albRm7Fl98Oy
DmiSLwf3E1Pe8KjLyHeOXiqK95rWcnIP27TklzF3xXfNfesX7kQydUCb2gXQHk8531WENTvqpwGD
d/jsPF/K4NRgi6Mv7y2AXey/TFD5t/EwMwmiDpu2ztBHcidLaSIp79HN7XrtjR1PZn641oWyr1Bb
pZiwrPnTFWjvROJbZ5q3n+ZR/QGLg5WrGPjvppP2f7xRDUcmVc0N44Tg5BlZ8wiXjf5MF0xMxjyW
z6+lkGKfYswj+wo/xfRj/0Q6h38R4RUu61ZZpuvI73jZTHxzCO6xmkppzfA/RjVnwUNLnj3fNZMz
f8lIsG6leT99EUWNf8F+J/zWdYNI+I11qTfbekqLBwtOyZkfPB4Nmz8u1rJqmPZUQSfuJYOUJw6m
6UbT7GLwkhFMZvZcznxYjTjZ21Fef0YFucy154hxRxSdpHFcDMAu2QZ8sIP1k3U2teKrmDysH3Ec
fzl9322HmNQGBzwjPie1tAD+W15xDPiStgnPzCUgadZvKkzkL7Q7aFvAYXp3WerRq4j62mdUPOmb
tiP4VUc9X1vb1t5dHbKjWAN77o5CzomztUGgP/DUx0rdBtF84LBTNyvTjJNX5h/Lc4fyuNvZrDhg
gdORaWMOTZupziFdO3qSnyGEPPp4RsSuvJKeu2l63X8pVQN3SfMOW48sinsHlwgysbEiUJZOrmli
sAn0rWqtnm1saM6vyayilwgwP5UE/mUIC1KTlIgmOa0D7b6bkTekzwWrigfpYmzf8oAJfxRnS1AX
2pxi1N3afYC1SquVhaW5yioVHpzaMbDW0GaeVgnfswMd5WHv0ZntVp7VBigvcwPZmRjtZ5+3Dtjd
pL9Auc+enckOH8YpWfSenuweS1t5w86MZq/jSGKYTBYVnQ7KeQlSMj/K7nMssBzywmK69xwJPjLR
zpNku86byKkTxg6G52+9wTN+eOLlO97P/o7JUP47mDSsqCr1SLdEtbXD+eo/mf3of9Y4t7J1lDrM
oeUSch8nFZ1Svw4+imCYHyqzNb5r9FLP5pTiArPZbZ8FLtg/hEuy5mZOuqUSi6LsBzGguswjLeES
sP2ZrQLFXdhUJrN09hdi57PMmbAa8BQ60D3wD0B0jVc/IfqxLbum25vKU+cqbXHxTZkJecVriBNM
PaBg8lHlySzI/NB2HqY3wENqS2ySiGMwBcip0yqjX2PVzY2iIAmaLslAsYsE/U7SmUer6t+1qXCs
J3XGfAtwVYbS7DOuzeUy5TcnnTrhMWubRVybuIS6A0RZk038MJtGkjk8vFaOkV7sAmiu27Jx4VPI
1LWL/tSkozvfaY86iZOtDFW5c1kZ7cMxrZnFTfHv2Gi6e9euef4R46cxobkdGsrd15VK9yNHBJCw
eiCgGdX1g14iLGC9u501GeJgdWNxlknQ/yKp0zyiNY3DNYuSgbNLUL+4vPt2fggXZSyj5JPjDCXv
KH3KBI/mrucLpfeEFkzSfwiGOj43HoW5JgLnr5O+u+nthDc1asXNmBFMin11tOqQeAZv4oJtw6h+
CinMcZuPJfPJnMVSLm1mpkL66jTyAVnDvWjPraTV4tZFfoq6YviaQ/kzNwZnqxKzNq9TbmNNKuKj
P7XtaTJA2XIFSna0DrnVAuU3b3HwiW0aeDjYmJKu2mSwdxk7h0dVmVNImV23Z58I3g0r0uY4GVTo
N6HXmvce4+p1aeT+jVPHL3zsH33WPIPuL848ug9uUISrkMnUmmwKsS0gRyt+nEuCPSGdKuelG81G
gM4XCYwLkJf0zaTrsub2SQguEvKVMan+yppCPyA/Jp1pstVBq+AHB9+GvlATg3T2Jrh3Hm+5nj98
27wvmq69LyqXGUGnDr3ltJwAe0GlqXR68O+AvUXhee/dVA/fzdzdVmkpz12ZVxtpmVA3sspJvu0o
Nr8TjhtwfoC7Tf0Usog15vOA6PguL2kXI3DlPRdK5PBclXeyTAgTgp7xjtVc2Xe1H4wvKuBsPnWF
Ai5eGupDLrB7ZdnDViwAfBKu3Te53mRXRuDxvQWUHyewBcxQmbBbQt5uC1DfWdD6oZBgs0WTQNwf
rvR9TiPEiHQgKdAvdP6awtdWGpK1RF30Qq0ZKype4ZYEAs2tjduwQXSVYCfFsNRAARAQGgleAlwC
tItsIbiZKDtdq0Ud0NpQW9a43QCmzJn41EnLeIJmawnTGHJ08lDljXmhBl9z/C6qBwrT9qdN2efe
pk300+VGbeEyKDEaNPwcjj23m50flFwkgllnl0JqojBG2NjZc9N0Ao9iAnO/IVOA+HMRKAxpg0qB
CdCRmPfSXFtUC1ZR4qdcBiRfxOaAzV+tDC5xOYjWV1uDIk77bC0KBzUic+D90jxDY1Jf9qJ6MDqk
D7heKPstGoirEaJc5BDmyJyFex3GCD9GHoEfWx26q1Ei0Sym8JAupgkwedDk1dVA4VxtFOFYifBC
thJLRcNb04HOWS5HxuRmxHmfjW3ON0JFVI9iPLDdKqfC8KcxEWCEsxu/mZp01Cq9GjIKFcCWFll7
YoKDQSPMJY0Iu9HlyUB0VL0A9pifhbIQb1Sa3BCBxEXIMUOG2GYjyqOJqcSefeJHVFG62Uqub3uy
HQ744DlD8uFY3nzLpZOw8VUCMo5ss4ukG/GSOsZLE9LAhtkBcyYCtJAuLhF+5dCK8MhHMSJ7cNrW
4h0p8z58YzJDZoj3ESdpOEeiKJs7L8KE5LZJwi/TYjHRchmcL2aT/Co5kSGeG8YPuPzAoDia2U5U
tR4nPgYGK6exEab4DfElkMx4VFgQoFQZ/9arlLIraNs3Cgh0J/px1Vx1LE4Hjfxcpj36mszV/Lp3
0Okw/ZqVcg4dN7F8V10VL0MwmJu28FSwdtumf3diuRyVu5qqdNaV5UvBONBbx4s7Rlw1MpSxeLgT
l0x8TDNR4Z+kV7lfiYEjrWWFqNcF+H9OOLyipsBj3+GmFVH9qPG/i9Jq3nz4X+/gGQn4J+xDHupw
ATx0rhuSVXa6Cb+14giblX175CRe7gY6QOU6nnrCu5WQplw3uWpCFLNh8ulK0PoCsccdFSv6GfbV
yaOCnn5sFnq/sMxDpiYDBsHELZFEZ5x53vPOQExn+bCsc+k7D5VHKg/TBKwmUujlkzBKeRhjR7br
tOXusbajhLWj1friBjhzYhO5WVxDlVO4AAD+dhDZlUFzfLyKivKrtKiH3bEH2+wijkPo/jH4XLD4
m4TdhToT2iO/1xF/68AnQGkXam6olkwM0IaCU3JfptZLGIS0Cl0V+pwTFruS3xHuoG+AdMkmBMHc
4upimhILz0I1UFY7RYuuKb+am/h4+uGmSDRxqxXNheQ9o+8Nu9/2TwxEggzhIEkdprXlD/Ff+xbe
NHtiWlNOvxijWxB4V59U5OVvcjTZj8PFoQg2XuVThRFQOKEjRkUJH4w4gc7EWUXLjpg3vODoBVcE
t3kChSYNZyv/jqeRTHpvE3AAdBBCNk9Mi4xlV6C5pwIHPWifhNHgsDVdtFpZroNfrde3r6VvI44o
sooPdWEz0gPIHrCWSX1mj9wFqOYXbJmRARJATb7wuQRnbbfMSrMoD+9y8Dsd54lW8sC+ysCqqxis
EChoqdsrhGHl3/Iwoq0mGLuBSDHOP0L95G4/fJKwmzmQ/Qe/SYjIgE32+wROf3/TmDYio9EIAPka
Di6z2Pp39s5sR3IjzdKv0uh7CkYaV2C6gXF3+hb7HpE3RCyZ3FcjaSSfvj9GVWkkTc1M9f1AgoSE
lJER7k7yt/+c8500S/ZgSTKGPZhXLfmklvvK9F2FlsnRPkPfXayNACbs4tCHrbIxqJs82G7e4EwC
+rcZG0FkvTJI53KKNHDYQsiPwwXKThZaSbrcWS0+pIPPZNRxZArUrhVc8+G4trzpyYioMOqzJWxF
torYecn6i54lZG/uqnKksHXaG7UWw+Ws1xI5o+Upsy3mhj1a2gmWScpzuQ8s9MZcKyK/bJl5snEE
Wx0Y0XdhnS+LzkXXjymyEzpmWTTXfMOUslN1p2BlRPuiNH+NueHfd75nsnnMyITYRt1PO5GAd+Yy
LppiYxRNRxcRt03MaH1r3FElvPjPVrrA/nTHlANMhpHF1+Zo7DnW2+kv267mHwUDGciA1Erv2eLa
1N1UTrtLtEezRuHPR89HQNgn+eQ9A0NsLugkip8pwGSSrvwmuy3a4rWB+RJSYeXRUc5DJIwGq0ef
7cdoN0xR9Y6gY3zVaTM/ZkUwGDsMN2RFPG6780XBo5DclU/pK2fIyT+2et1l52PwyTDXfYjML58W
0nxAoBqtwAsYydkwEZu2fb3+RH00SBIoa3FIUtg/TaPVe7YWcj+xULhgpWNvM+kMt0pQmbejiEgS
5PX0cpR8cIn56OY+WiauAHKLQIqs2HqAxsc9u1/8/hGDnjmBfR7wN7NfifeL9saE+IhiE4UADaoh
sgdAmT4fX9KKNQBXehYSTWe3SfPoflnorLlsJCHuo5ociTyT9KAw0twyT/2cPCSt7VJpY87vAvQC
cKZ61whSgH67FBrmH5HwOmitV2ayyeHZliXuQ87RhNQTaZtN2rnxY0dI/pFZlJCaCBLPgEXoEM6u
85ZMjyfqX4HF5Izywh5g6ytR/rQU7JatL9e+a3di2d8OabtdkGc3dsmNnomyc8vD/9dnKXjq58e5
+fkf//7+VabVLlV9l372f2JU4+c3XRca9f/Z1/s/qZJ6/0zei3/7Z5Dr37/A34TawPuNvkQrEL60
HFbh8nehNjB/I7lgA602/4Gz/odQS6Un7rh1cQ7G2PasPwi17m+uQw9KwJfzsAh7/y32vTT/0tuJ
Ax+8tOMSuLMs3/FMvrs/6rQ0UzdzuuqOXYq4dRzAp9x4yhn6Ha1ta85tGorsWBZVM2y8Zu1hTv1q
aNnhgkQzfDsLXdPqTktSOe6VKZi4MT+m/FNJldKx2QRkr/1p7kKj7OIzSENghDxTRNhpZLjr2iFT
dDRIQ75h6l0NcmbKGXapTGauHKymH6Jae88KYXBv9p7GogtaRMyaUwEhVQ5yc56HEVem2hisBblI
6BFdy0IDfReA8V6BPxyathZrJevYTpjH8NORbMIpN/q3sING2nqahqbEGWvSVUXC4A6RoImon2Oe
2ZgA+50tpyvFiOqX4leSippHDY9uaiRsw76vksguDgFwwFdoQBYeNz+aPyEj9bcNTLudmspq5Ts1
GltVZ4/vrNKmE+jxkjRV46ZvtuEqOuJw6FAlLcTdxN4UD6L17S1jhwslCX04Y5LZSCw8jz1VOq9E
2vyeEJuF/d8SdXq0fA8kLnxnemjsOSudsIFxeGWVpuYZuRgXEhDioV3sdLmG8zWYD1a33mI7ioXi
vR2g873Qttie2NFiNS4C0aJ54iJsDzMCHrEbcKBdemqVcsQNvYK6yQnfSoUKUwBFf1TJzMOiRzIA
KN00rxbaSKjmcX2xktPQJ2vyrtEhX8a+kIENXDr3y/nGnCbwHrTGjOZN7PnxuKHNRW/xtbQ7M8Kg
Zg+0J0DN+IVfGOJ4nltbTUr9VHOU3RoNzvOuNa19RCR4OzKWXQeex+pdMofMi00FQ27ORJCxQvK8
drW9k8HgPYzBdNKNYTZbBufgbBRDGdpZ9MD9Nr5ms/5iIcCiFlaXIGGaLfCHL5OinWrsTpoWlYNR
iPLgqICSLjSYUC59dRVbsjq7fGzuS9kYJ3da4ecSkzX0P/9Q4s8jmNScB7e9BB1uw9yz880S+Vc2
GvEVyWATuaRsL6Eqe7yrdvKFZlkceNqXL2nvVNejzJ3jMMLUYHeF+SFIBjxvCqgjklwoi6G+97AD
XHcVpF0bukG4kEGgIyIR0VNcTA/stFpOM9CC5wEMQcuYeG7cRDI61tEO9cLYIEF+oE/Jh7Y28z1B
Yp7ysM72blTYoV3h9jdtOr9HyOip2Q9XLT2QWF8T0cJedIZHOjJux6Y7jHiuUGEc1sQdbrebiNXT
1lnmHspTCmON/UDtWIeRo0c8j/e2MAlzegaBqubnMIDY1ma/oU0tB6/f9/hllXeDZhW/sqEedsna
s0Yqs3q1TQBnIJYe7ZHPP3HJjVNGX4WJ5YRSmVuDtMHPbqWCdHVz0bgexRx6tXQGBtUR+fTLq/qL
oUzYgGqDd76Br8FefDEA162toQMTUuR0lHEVBmb53tsvcw1dKWHVXKmyIOZe4w32PAAGs7O8Gnzf
+yyLlpAppz1ImekrP8mtFV6gH3Isqy488TNIOY/YUjHuiR57Ie2+dphLkridSlUIq5UFHv4RADT5
YO9mqiOPCcdvJmRjHMhYW1JsmQvj3UwZGFpOZM3Paca5jnUCdIuA6dplNRsGieN89m33q2mBkIvB
b8+TG8l9wl4upD+VVXQ+lrfE9N1N3CuLQILMP2pY0nsB4IgfnpH5dl177opR+Ec+CdwJe+yWLGxb
/0UHVvzV5KNO/9awQfFF/LP+JwUIrvOX/gMfZ5NwbYm/SVi2F0gCMn98OoEDoxM2EcnJtxQkI5T3
0t31aT3fqKqUT7rube5xdZrvsK4vJVaJsXqsWmMOu4RFFDGuILuca23Sbdg7y9GwXKSEbn33t5jv
eUxpoWkagoEONcEa0hJnsm8mJ2cofX0z2UWHcTNf9DP75vx+9kQlSU4H7uhcAEj2rxaSa7eJn3CL
giygWEZSUYBFqFcfhrQMbCWJ+4KLGGZ8Rbc9ZzKDgKBA8dOgyV19FUTI9Vp782Hg/n6ByXvaFwmu
6AXr/dGZvOAczKsyaLFDkkUdc9lHeAXZp+xcva62MWPzPY4IkrB4rQ0KF1IE6tem92vKMWkU3bo6
WOaj73YGAjxx2LE4YK8BoDH5gqiOmJ3y0kPuCgMmVA5qo/HT97wZSdGyTwWKFUg7Wxj3ee424VT3
gO1mJW8V5XQP+LNAQXb5Pk0bFjnVMmRE1836pgygLvvQBG8cKiFeKqORu5Gt6baHKLUn3g2pU8x9
2Iik38vYf0igTG6V86PK5osx6N9Rmw9DAjPNUsK+brKPcezuA3Ytl7UJpNkxlm6HMVXdJyIPgLXz
wjFvYIsQqHu1to1jJYb03WwdmioL9hKDR1uEUd2Tg0yvk6jEkiSkC+M2OXp25Jx4rMBd7V2cGF6D
zKKQfU4LaA04Uo2isDTGxcC+qnrN5knthNV8TDpxtl1nBxvC3UgHfDZvWq81H9LY+fRqe7qvE648
qYfhWvUQf/aGnyhj6y9OBE5oMO34TGNXUH0RbmlesYGh0Ps5NfCHwB6dazoSR4ubsuNMLyByTXp9
StG8z5abv7F8sZcHXJu0HMyN14IYwWfyxkIgufabXnJ4rdwPncEBz5sRZT92pPExJjkO2tId9bYy
0bkDQ6Q7L6Hk1mJ/8iAR2D7BwATsHYLywaqmIQm9OF8OTuGP2wI6/5U3Jd3VQChn3OJ8jn9g/o/v
hd2Dc8u437St5jk/ELh37SkNXdfwH9vcZieTSvedqRb+B4vn2Dxq0RbnVLeGxbtpJsgnHLrvdQUo
buv7jUxD0eXg2llF93j0GThUyM2uafc5dgDYBbPbbKZuGdotx8j4uuzjgJfTynjso9qHJuuIe9TN
8oVHi/0TIXU4MnphaZopVdpKBA3AvRiluRCG6thg3uHu56f+BETfrJ5dJ8uv8jmX17VdjveIF8Er
mznzMSVatG85xN0vRs7II+lMfeDbyB/NZeHdbVMeTYtdiDNC0ciZ1HZQ1H3lXSY5iv0WT54TsmpW
odVZb3NTpefEM6kzEnOevRUUSL7Okf41NoMhtqY5jvAjK7TFlEcXfHbnkOfz9APXClndaBqQtxWG
gnclkvHBbAr7NZrA5vGOYiPcxAqTFbaecTmOfil/LDkrHx5K5C/6NLtPzSh4b1Q7PZqsTy8zTH4A
JCqLbStTOMbiTJCCIaKOb9tEXSDJtbifg2tnx8ZgpxNKcnlTSBAG35kJwFtvUSbnH8LvjGstGuzj
5ExlsLGqKL8wqEO/sgdPE/q1xi9RUq/KNaf8F7MSHYbtwDLkRY1JnJOGJeJXa9BzBHRpSsttY3Sd
y0ZHWG8+lJoHR/s50e1IbgHvwIdT8JB2yo6qYIvlCvS7HgkRcNNTw05QMAqMOCLzsYHgbf3ovWbO
j6A1kg+6bqlax6oyXjU48DatFa3ewNxT2DuZsdnaYTyZJ24ve6l77ytOevMySt3hnGSouAfCk8tz
3yUWpc+9qY4UCRtPlXKS296t/I96MvuH0eQIBafeWA9PWEv5EMRchGWdpVzyLZ+RLRQE93IZG/OU
SozE5EZK0iPQMMoC84Ad3/ZOsDz2IjVuZkyDUGUEhBVoqYXxCxYURgZVWrgclRLO9RKkbJ9kIcer
FtPY25JI+cHqelZ7PvLtz7mPcyxRbpRTad7GrxWuh2CfA3Giic+2f1npSH6hRNsKQa5W5q5NvSmM
jBHfSJfl7TM+nEVvjWqiI9oQ0BRWslIY0FKEvmUoSLNYG/oL1WXBDQHz4J7Xp7rWvcnU6arurWy1
SXujrKpdx/DSAA3HRMFimk1RCXK620YGxSomYtyps2ktg4Ka6R3kCSjRmVfzecwa+gQIUqY3Q2rF
x5aNpE/HYkzsvEodBdMM/C/Qvby36MK2PfiuMHhoY4HCsaHG9InV/fzBOQZ3E0tTm3hUNbsA9iNU
jw6DoLlN+2C6nTv9agnxQBNH+4jk1qYhVtz6ZgA6X9+O+ZQcx8Vy3t3F8PhPc9FfYyGZTi3kg7CZ
LPU6tFL9mmLhlztD1/5DjfTzsNgZXYi64EnE5jw5lR0pUJJyfgK9x6zyPYOwcRXXrIT2A9ruiQYT
A6yzTJ660bXOM5103ZkcgcgOLOvwDcd09V5XQdLdgA1EsE7a5R7Y67ShI1OdPHf033CUTw8d49a0
M1mcnjgqufHenCRJXuZNsL3tXO6WgU8nMuJcezetWaDfCxYf28Uf54NotXwfQfqdWB7X18IEGKED
DwcfRmS0Xk5LTGCJAuVBLNiYbo1OI84Ujv70ZNx/EULEvzGwLeyIpI/rxMp94p3jLIt0jvAeRSp0
No4VfXebydEeY1E2P8dU7ZkbXmLKiYOgyThLN4lWu5KNKxQ0Lmw25LQY7wwPgjGJlv7RdorM3NnR
VDOaFbKKD7EB/MvE2nrlw185FCgiWHiH6ZWukSi/KY0S8mGAVw/fZSpgv3M/lxctnZblbQNoAeoh
J+H0MLX2zHzhQenDpNWEc5NYdShRrfgwFwHsvraPP5du5TP6Prhsv52Wiekhxkxcdn4HtrGAWiQJ
yc1n9qhGfPK9oEvCiNDUjyZgbBPs1J8mmBI/nVz7J2EE1Yvj5MlzUGGZIwEp9EELg0SyafcHMp/D
aQYQueZ+h1+5qWdOxNLOYMWXVTFtWyjVu9mMFNQvx4A/WLe0BM6c46hD2ZWWxzEffma+KWPP+SSB
ooaNGzTO4xKYLBktDpFx4J69lOTRTJg4rFSwPIy4aK8LtjM7iwTTJojUNGP9zep7RVPZZ700tMk6
HSFcMc08sxUEXkq0Dc6LvUzvF5ZSezUlxYsdGOM1FtPpsW686sTRUWVMs7W4ST3t449u2LIXwjmP
XPCEzRj9O6OYj7FHPcNMzPAXJJ/qxrE655GPPZNwZp/NVMnTZEb9a9yP9gXxmAX7lzkdE0cOpyFO
aE7rEYWsvMWb5jwwk3d32pvQyuLYvkwGWR9zN3XfBO/cB+FOfA+jcPboDt0uWsz8shmq9FYhzrCm
sjeJKilVIJZIgC2y4l++nTxFk1FQzNKEdOPIA7OdpiPBiMMZjsdl3/RvwbhUhzZX+gAEqqPPo813
YAEYTxf/BcRhcFUljT45Kv00PS9atxUkzLsM25lEi3Gs4WwlUXokK1VcRH5m7Xp63rDFT8UP0P/V
1WJDTiMz1/FNFupY03x+7CmN3xm9jwIqHLX3UhjxdXDAWRds/7Ac/SfHuL/26XGKs4kJCRu92YZ0
766nvD+ABAxuv5XmRnIC+24xdq5Tmo+D6po6I1tvHT5C2IpIruAWkFBf58E76VJG0//rG5Fr6uQP
qRS+Ew++tLPuVvkXfcN//k46MrhTiUPzNKPkZCNmyySQerlrRjtQN75fme5tDqccF+xS6vuRMqtu
46LGAAAbub4Te3zWkwUKZ5ytLt6XWcD+TOKJbN9d8E/2zlaG89L2VnEbBBGvPK28rz61eawl1oVc
qWn7ALNeVfBkkvaF9Yexn/pePlijNj67hKxhPvjxkyfkgDOgjdPXPiW2yy3Opt03ZSlAm/iL38V8
UNJkugOym/k7NrFBOC8iv7DJO+/kXEPDpIzzRsN93PZ+199jL5ovjGmSV0NBsw0L22Ivp+LVkrW4
68EBe3R7b611aemt68vme5M5QpVjVWrkVhKycnXum++1J5B2VqCeY+Fm+F6MWnbrfXm+CzXeybv7
JV7MF1cKbKJtzpS/QbtqdlPvDNYujv30mA7AYPDB8Tktvqd783vSD76nfiIXnADSMZ8/narj3ilG
/yb7PieYfS2P2Iqxg6k2sA7y+zjBNsl9TxcUVicP/JMRWU+xMw+nZupiONW88PmCJ8DIghWmup5Z
cEJzfPHXk0y5nmnc9XTjr+ecKJn6JPQXns9ZDVs7MzUnovVs5K+nJLKw6a5rSprk244d5boR3XI3
MT6K70PWtJ63svXkFaxnMGs9jc0G6+0WhvK8ZZfDca0JEmt5cB2Vvzkgs98db6GGuppJOb8UbsuL
5NSFc90vnC8P2oZlxW9pm9cuIizwBQl+SMMEW8QviAL0//3fr1fre+n/p8sEmAeqhOVY6BMmKbI/
XyYDFKVRJjxOUmatq8YAWVtrKqpVB+++KoV/an1skFtAx/BluvrGx6J5CQ6V9kXD1dMZmbplm7bg
LGcDUAHKABpxz6kHKKrNnvS1K0coEXEq6ZelqHDTWJTUxnOqQ9ebbkDI3uhCK+hjaKCXpl/2lNLI
KfqsjF7u3bRxyVO1+Z0VQAVoJzc7Uyf60MjkprKi2wCJ7hJrIKq+BOYr4geucXktSIFyMAu2rgGD
jjuegL3Fvg7AZtf67jFJV/9U7zKg8uwQx7HxiluIs+JW1uZoh7XtxI8mOI5DPGZBSMWdAYpP1prd
25yra24u7a3fqWmvmGR6qoEbQ2MYkMEYOlORn8Eel0CjcVawMnSb6ssbVLsOzLDbCqe/xZernqHr
RbtaZhRmOEuxC0B6ECUtvOgtQVV4m5wZ17LGhbEHl5Yc0rIFhgi300OzoPYLBm98rHyHS852NbYV
p3NxJBLO+CqjIODxNYjowEm4StdQxZwho3Zg5b1hDI6u6KK7aAySj9K0o0PvxWm4avr3E5sRNgUA
UQBgjOci8/UWtKd5zWpx4VPJ0FlkwXSRB4mBuYiiCL5cjzHGr+7zNPMt9rxN+4SvlysgpqB+JEyM
wt2Myd4dBh5pC2bc2Wv7N7gO6aORKOu5xZ9Nr8cikm09ttyaJp3dURJKuWJpywuHu9TW9rCN1mgN
oY4T79ZLzOypImzFXTQJVqojr8w5lQKVlKQHTYTgTw7wXATXNSYnOufqhyDAqjUWLCjc7yfRkij7
zjW6+Eov00o87cQAy1BWvX8LEw8Ju1lFJPNbTzL7acDm8q0ziVVy6tjqQu9rViUqwumqNkE6Z3no
VtaH+a1aBehX1reSpeh9hYqgvefiW+mqLMNwIGloTp8pd2+YeHgk3mK2e+lR2q4ZXy9NY4pwfY59
2YOeyAhNlo+yvqptGRECUj/dxD85GUiAvRC/KCZZgw6Yqk6t1fbM1a3N4XqABEr+Ocjy7JiROyBo
yALD2XWpWV9I6j3SY/u9053W9W7umK8twEh/08ePeZC+YprgArEylCEvPbfRspymMfD2jQlGhu9a
7R2E1ospQSJSRu0cm3xWoJJ+V13/yWDxl+JuX3gmgwU3KVu40pT2XwBFgs18zkrUOwWxg5MXA393
2Yx333/I2rX+v7bQfwMjfdYEFSkY6//yy//811LIj3XJ3//jTy3u//nnX/KF//4H79779z/9IvxW
p++Gn918/1MNRf+P/O36f/6r//Hffv4rGreFuMwM9vtLvf4Jf/+d1+8l6vjNV6oS3oy/fbXT13/8
+99/y9+zx0jaLvOcDXFgjQrbv3OrfJNmdv7ivV2L1O21Kfofmrb1mwMggYSxJ9CyAFH+Hj42vd/I
KZsuv8cMbOAZwX8nfMxE9+cpzwZ+4ps++CwJ0ESgP//58ZWObouQ1i/7pqjJzNelU1RYwA1xlXgc
sDoPwXJozChkQw3z3yrK6NJ0q2IfFQz+gIxNsEEChv1IiUuziRqeJBZXLGuaSHvdATJ5dzWZaeKh
5fVwSYjGUBqI2/OMpax9XVI4+VDNobHKIjlSydsdh3LswxEABlb8mKZZ27PZM3EoCXaOtNl1lPi8
kk09c1WvTUtddbL8wr5IaX+DIt3YCquONK5gn3BUETmfY0ovJ+NnpAbQ+niFgo806Mh2Co1h2cnS
MxPOmj+iRvDSd6T7oshQTiFpAFzxeYPVBI5MN6qdJYd4R2Age8764k1T6XuVduljBM0ezFU5Ahty
u3eaTpIL22qTe9BQ7oPLdvNKpJl1mEZDhcJLyUNw+jyNs4GAOIpTT0ZxH9fVEga8dKxxsgTbFd02
BFGZBSrc68xqV349FRds+zivqPzLihERBrdO7/FLw95kmRkCCJl/TDgHLhOHjNZmEQadcCmiFUxr
X8pzTpsDXBghSVOpoUmgKReOf2FQ3ECHCzYddLnCNEks8QSheiPxIN3Ei7h1ZzXdB2NRBCe82NYq
38TtDRoctkS/tNQ7LgfdnjTD4gX9CjgORK2jG/IZyLRl69NzUnaZ11zoxoSDS5lqgrfNgw5J/0kc
3KqRJeTW7WH3UQFtV2c1KdBG4CGxw6E4pbuYMFG6dwEA7iydZ9zFlHWdjkb2A42P47vS1aHCTr3+
SCOR9jjwn5peOaHT+9Nlrsrxpkcp5K1kdgCHPflAL5ATxwd/pVxvqNe2XgZHu891YzKuNroz7wLO
RzeuZY/ljn7o+kgCnjqtwNY0IQ6EPXphxR+tk2Z3Kk1kiIsLrHmWzjOuZn4kcIeFWaP9FaujHg77
feIN/rH3croWsF/ucS0iipKLqo9t49VXhAn7fTziNkgHTOmMXuQ6at1CiMnn8XroeY1NcnlvOAeH
Wwe3BpmQdTzoqpt+Mq/lPNPsMkzLXd4Wa7TB4CUzONdQbtVeBYUjiYc7Ts9VPU/My10HKQQ3YY/9
vLO6JRyCrFvwCUwkgA2hf1Ia/Ib1tbvEYl1d6RYfQNyQcN9kmB6PgyrtS/JW9blaFK242Mqim0wp
o0Oaj6oLqtm6CM3WBJXfidS7A4uqnmklT+hGx21+pQKze50sJPud2TXY/jy/Xgnj0YDfACVzIK4V
u4gbyGHzD1vwJj0Qf9c75VT1VxHomhgZm1m3ufT57Ad4pbF8mS9GnEzTKclWfyuQchTLWto5DV5u
FAWXFWuDbOfMGNx6r2YC0gOtC2f4eKncClqwnxJQBTusPWBgrMkuzwl730Mq8hyCCyczfMgDt2na
ZKXIOdsNxUuaTvowBHg2t9zsn4c20Jem7NW1oUX1VHSOQ5LQcj2M2cUkvjwv8w5qioqrzqpzoiYG
5UZ9Frmbal4kNO1p/qhUZL4VHftvr6PZeeIq4g7bANrH6PyoU5pItoVYnHnaIp7XXzH7wbvFdqOf
GbvrY47f96vTEzkKS/CFzSg147CQC8u8KZaOekwNpgYGQ6oSAT/U/nQ/q5aqQU/Bhtl7Lf/rKSbW
yJKki3SYQgVyj5E15dGuHHRZXFWl11inEldwSUsbIxTlJPHySBB3JSIkNpEO7DgUlivfZo2wVtNw
dFRBfjURsOTxEkvGoIRg5oK+h4M/qg8Ud69+v5q3sohvCkwDl+wA4y07yImyBhvDvOTBw3lHreYQ
WqwY0FzNdDWVVzGdHk9krWOyVoGbICxZzY+Bg4a77XIuiY3CreTsPHbMFzHQiGXfeqUMtmXReNkx
jysNfTkt509htytYPJ+Dj6Q1WIE3UPM5jXrJIuFMCNrbMW1LKxTsUkkKpo49M0jTNKI8T60qauYl
FxFlQemOsT0my8MNPr3xatHhYU50zdqVrK9uoNVdFXatj5BBuAqUUV7UMPjxmUMn4RxOvCaruU0K
nbCZmAaKOItOvLf9cm+Pni9JVUbDg5hyXK5oFuTfe7DYFApUI3Wa1pK7712M2WiXN5P70g3OEGxt
t8niI87yMQmH1l1cWDprrEfgPd1iGJt/xmYgnhyz1w89HndQ4ePcP7ClCC5aruHNZFj2PUU49gtQ
vfKCG7Z9Vg4eESdjjaA1rXkBOvJ2cBMEeVqllmA5Wz0XLBmnYvkqixp40yDtmf6nRblrgrNE7CUC
jKzOgrqb96rTRnWwC1v+YnCah31j4IC6k7FInmjqHdevTmkH1YlufAALRbHalHG/80hAkQCvA+hl
JDP7G8MDCIyHzQpemoLyOgqQbcRMW7RyrasbI9QTild3LnRpe1OWBB8o4FW80Skr4fJGAU7qQx9z
EdmkXNx0OD0oM5EDYZqO5T4zRMDKBsTB8NbSVgVefDF2dUxzA+FhRz2oxTbe/XU+3zqDWmWPmGCb
ECX5ewwMNMhYwMZu+Knbc5TgFjm6jSB7nyeD+qloAWDnHLPz30TwarxjPfcQFbqBqlpsMm2KRVgk
3LDdxTRIpPSlRncWtKcjEBDtjimB/WJ14VApWI31WSVAs7bsEj59IYpj0y7e52CPiIv+FPnUpVgG
ehBPpiVs6jZjcshE/OZEcXfpiGx8MdICM7+YVXY1mvWTr3ENABpJY5CbnudclJ3Kwqwc6WNLyuqL
IlwYoDrqXpeqrk9dm/Oej4M7XE95gz4Bo5CSkpp4Tjlk+PQLlxjpHlZZe5ulwFnoH4NGvylgcBFu
alvgc0PeDTgiAtOEeG3p1zkpCfrmOQiVkPVejHTKXpDe8eQnpwcsStGoizqshxpSYbpUfPSmuGx3
S981tPdQqWVtWoVh2TMlhYGRlZXbkbP2M3aratPKBB+ku9I9CJBhd5oxis3JgYH0yAaUY2uXkSG1
Udi3BHpxS+UTxEzpk80k9GSHQnncAtMyVy/gtvKQMyW9dGWxdurwqTzHNH0dezojL2swoY/k3/S2
wLJAa7o9gVZzi2KrOtF+xF3pQ5FIEvk5lfUWCkkY5fXylkTuT+qH4T67Ij6yTR8hONKZGeNt9J3v
WDRpz6gkbZFThHCY58SaQ6PvxKtp8zR6SVqKHzfLJJ1bObr+aUmBdbE3hyl3jHtK7BGtBgv6XVDl
H4DYJ0zV3CB22q5Jnbh+YhCTroPm2PG4YHEXc8RNIYfVQaqfo35qN44uLH1QLOIHA4T/aK01yy3V
r/PRUKUPwaKqYBfAOtSPJDzxtTqtW7OzzMsPrLjdq5XmtvMtYNFvjEGWWcPla09+d8cdSFjbQWBS
4ENQq1vR6ODSFiY0DIv0xW0OQ+MBL7OTHyKX8NVGz1X7w029NN+oJkOwZUCb33wiU59D7HF1eHg7
gwsuPAbDtErq98Ad1KNjjvJysKV1W06mevKlj3FMNgNWIRm7uC0tQtjbMTWCA4la1m1dpZM9brnh
ywY3lx7rJQ0uXOkhfIiaEimga9on5TVL0t64LdZWVSs5sualDdBQHpq+Z7k0R2D0gEJbrGm9WuLv
Y2Qz3wNU/LPparYvVonldPbXEWyEbb8F42Z1DAcSExwzIbXzwawuiegQrW0hqhgbvLAiOCSVXf7k
JpG9ZzirrqipB70+T20V8pqRPx79dNqOBP1zkv5VFOExrTF4ZeMFFyuIWcJ027GR5tmU4HfoXEDX
cQYdcletdlj2LaitHoslQBUr+yJe5vgpi4vgKw4aLu0ucfOPaXCyy65xAkR6/CTYrlRnfsiBTPok
EigBbNRBF3Bu1HbVhLU1XXQRtQXtkmdhIJPiRmZLdVt7+Py2iIPuNlAFN5amzk66UxgouUm+B5TA
b+DHOz9StPaPqWhxCjT+HF/NABE+Got9Kzus+IF0Vv6Kq0E8ADjh/OfxDLkemybSB1gUitSdZ1G1
wYUFDw9CKQaetOsuLC6LEBNCD+vGOALknbc0sAFcwKCW8HPfBR6aQW031H4O8MYu5rhiYzZMfQH6
RCbHaWG42LHwXJJtV6nky5UNwyLAoLB1vPIA6GWJgR9XKN7EJG9darvWJm+DGsWxeOB+0V7GNCUh
02kzZ3RJ4BOzZmNZNY+PljbO1HxzojKLNy/jbjsFNpa0enn6w/rjn2ya/jeaWeAGEhK2GwgReO66
1vijgvVf1J1Jb+zMmaX/SqP3/MAgGUFy0ZucZ80p6dsQmi7H4Dz/+n7S5XK7LlxGuReNLqNgeFGS
rlKZjDfOe85zSP5U2Hlb+nprkTyUw9xenEiJFQYZ9xDPuKpFTgnVP/+hN5X971R4xBOWPLbtej7U
NkvYv63NLIS4OcApsoX/np2YMtp7cFjFyjaT6Lmca5w406T2zTBUP//8J/+2JvvLT0Y2EURDHfqd
nN/WZKVk557pZt4i+VFU67lOvxgLZRzryU5vC+8g//7LT/yXVLZ/rJ+h0/1Nl/svCnH/jRjyFu+o
fyrF3Xd58vH5H6S4f/uSf5PiXPUHb0wuZJatPKFQu/6GAbT/8JB1fCiRaEmKGMnfpDgbKY7ICZ9H
TwqpboTAf8cA+kRS+LvzhbzZlTL/pXQJit9vb2GTaIm0bMtHP+T/nN8WSTfIjIL7kG+7rifgINLu
I4/x7N2Gg3vc1M1xqKigzUhSQbmgPJ0nQbivRy85+iYN5h0XzKuXT/Lbr01gLY5rbPCv4DWgyfZo
pHm0ZgqlYEbK4OBQObYIx/lDdQ6R9Hhld/hH1KiPkGqd1eB79BAWQYdWEqMp8AxlPLxahfNNLGxp
91If0ob6LktngusYWZZNVXbukhBtzDXRFS+ZjA2PhWaUHbhF5mc07fmOR4D+orzMXCpPwcQjTbPj
5w13pT8ZG8sxgBiW8BGultnjFTWo2HGmjh0i1l+sk11GwwM/lf7CkLAnA8Z3b9r9nrtv+OroZtgb
eUF9u6Kvu8r1QxmnBXiZiKpjMWnOAm+8w2TrbYtIjuTPG27Z8KjG7j5i57qj7Dg/FuHQPU66keOS
NUS0iEBkv0zc/8J6HJ/ihBxOEznojkFfbA3t3qNd9C/w5cOfKovrt1gNDsXeJCsLmgLuY6+i9Akv
/VqrIH7qE20Brp2uIKWr+0jG4slOK7lnOdgdW6xU4F29/DqgqaI2mPZibEKUr5BQQFUlH0NV4sbF
Qz2A9BPCx7rr9k+On+iLW0Y/gQN9Y45T2vU6Vb0p8B7cmqfyi5bUX1MyefPK9cdXrHcU0MtD19FJ
E5dCPPQ3103sJel94g7+m0P370lMJcETXdv7rpuzb8QTGprSW6EhoXF5wU9lXPK5ZOJAq5Zfpewq
cv2h3uNQud2E6+GgTSeASp1XO5frDZ5rD7AYTqVzNbk/QX0U1ht+M3NNU5T/xL23wOffNKs5yF0q
opKuXM/hFJJ2McocqrfQ+p5AaXrxo7lhxTZPLxY1lgTQ0YRDp6heqd+ZLtnkB6vQ7M0TpWu0dnGr
WsLIG1awbLF/A+L0z5plT0GssWx2ZhTYN/54S4pV/ergSVzajk0ZCyB/Q+SUGnAmjn3LeXThGHoB
0njzAkmSMrFLk8lUu88+YzwKus4+VIRbRzUx0BqpjIC7ObeipOaOUM0TsUnqjpbj1BVLYzIrhIHC
XNNTx2UmnqqzVsUE4r1ztxkoPQgZ7l0+1lttsxUGPlieAy9wVjLxlrJVC3cay+1MAKjUFTeQgAKW
iXWnVXzKaNoy18dHBnUPo4iZPnD1j7k/N/U25a7jiNTZKJarW3qx86Nnmd57Go8Ta2Yz7ykmqoZH
lZfvjtKf+Ryu5dycmtz9Svpc3c9B6mFnrZ0NmmLAw+f2HbFp2ctBDNmynB+Hxnn0RMwVOavbVVUF
01Poxy0GLoL2qCvknmOgPJLkTTyPa25WlMl2ynhkO9m9RsWA5CuwFxDOMhFMkCTozBJHFOf2UDS2
s+7a0v1pvZSYTaHsMzdhPkyswNYBw+aT7RKZIyECH3Dyx2XT92RNZTFveB/TXMZmkbl7LsfXkHqu
ve0m0TpLm2ZjYVE7jK4R33K6zbYvkmmfFpIQrWgahgeMGlvKG+Z7L5zlhmtCA8I+hBgRTFTP1Py1
pxTQo5xzHzPWDSbuV9naCFzqF6bO2Vqd9KihUPZnmQg02yktphN3MLHUZjsezLQIXpnr5yURWFhB
/tAfzGqkizsbvF2k/fyTcEl7HKJbOsZPzUc+5CWrBBIZi2y4Ne6M1mC/qLhwYXhObJZTLOlIhk5E
UBvyoocNxrM3Sc+dfiSt/z36+sUeqmpNsJGIFnhVXogdYhR2pzSXb9gKH7pmuEwxv3mQLCPYiDfF
g5qGGdT4G+xXah8zD48pJrNNUWCvCerMB+xqScn9MYL17nd8/lvuRU0MtpMmOxMPWLZOaZdjMPZx
xQY9G2b31CWyW9KBCo2Q4qJkxojI5uwpn/vxKAvO7oUEv/8EOyW+yY/fKdeN3VBQUwY2/Rzl8UNi
K2dFk9O4wXxZL2PCEJu2GOat3QXlllqE8QlD7LwcQTisO5KNP2hbD1HvviSqpO+35xsA4imntzLh
sUGUSYOL7lUAqgsGCeZrc9VkQQ3YpLktV4Lpzzjz5aOpoErx3WkS6unWCN9pR1+OWfzMyHqxdLim
egL7MpvrNXc8kx6iwFhGYxOdauDuhxGX2d6lEoFFgO28Su3b7w1JqFVcYdrmlNiBTy+fwswA5l91
gaTkusftrKO8fBtnNzxWdDLcYVoqjwVxwB8WFMSkIVRyDE5sdFKdbxqJsuHOjY/ZkHgXqf81bSNv
FA1cgkQfqW+bL0KH5wLrMccszX8B8hGUAzpzTWL9PFRHASX2Bksa7ObE5mepRwvMFAbvhZPYcG6T
bS1uLblVQlckTIB0JeZ2X+thMY5eebJQZVjOJD9gZ3y5UTkaG8KRVT/Z4VCdSu+HSN3wK3an4EJY
DXtyIK2jBBuRb4lMtWpVFEP7Qe62/klm01uVBO7vRRrhj5kUxSArFzrAM/wIEu6mbxu0TaSa/GMW
Vw9TD4h8KllHGlMDVw/cu8Q2P5lXHj3JikjSuG0qkjaDNQ1b00IUmD3wjh1gmuUkIvVkpNG415Q4
660KJzqT7ah5LpExxqby7jxDdiVmbONK9GBelgUjSmiWP9jxx+dSu9mS+zyVBQ5xxYVta/+Bxet1
dPv7ghTjOs+jC/dILB6k37EqvYm2fqlnUq92ntoPQvrFJvfzacOxh8mRRE68RtR13xIJGbVgrAhl
+pVEzha34G5uoHfG7m5ohw419pZ8mx1N8cUNMr8OSfFmaHRFIsEOm9WuACQwGeZjakZfHGhXlmLf
jXS2FeyhCyylahOSYlzS7cJ7F/4q5y5TGA1wMlfuKlHzdC4bx1wGrIMw1DnVJZDRJkMyjFbD6DYr
P3I6Gl4d6plLrOxIG0mJO920n3n8eqdpbqBDtL3hcJ/3Qd0Kpk4nuphFGuPDa4xV3A/2rpob84Ep
bnoqkmzeOP0g7zE8MQkn307IAKtHpzt2/KGXVdadqValtyai6qK51VzKxiKIRHCXHkCKK4WNtdU2
enMJEfIjQbwD+pZlJ27uHNFBpdashmA1N2pcFXMkT80QiHvG7+rApsnalWAmMXMkR22M1XsHj+QK
WNtbYdyMCB5O+Jlclt2P+KXKOz8QYjskxYeX0Wco6UzHhKODBdGTPSs6ODdV+1axOq76Qq5iq3Xw
IVVb1YIsC0xhvMpYe2+5Hox1DFn7JcdSiy2KZbucWBTSq2b8YFBnCRML2m1YPy5p7jGR/hBjD4DJ
sl1bsa7rerUjlaF4UXV4gsZbYmDkkAoLypjavHsto7Y6Qcip3zGosUmU1U1pVpXBg+fGLh1wq4ig
qnnv0IMOTilYDqFvbNhr+ctZOnJb9l3wkk9R9WCGlkehehU82nVpXyAsl3tmsOGxsLL8FVcmsCg9
sAWWcnq0DPKENMVl3wWu021FW+wvH9FlOw6lQ0qICZoNjXOi9AFqMLZt/RFbMbTnfibCJNgVHgtz
ip9orcxidNAqvgI258jIStb2XRBeBAGEbWhr8yJgHNGhGtoLFTXNPpi12JkuTsfcmYFUIrmtBmPQ
307V+RfQW/I6CWEsWL6qhbK75t1vqvAxRRp/KrC4HgbPg0OZiLjnpUeuQyaOKflzkmXT3A7XPHpo
Emcz1zJiYGuaa0cIHtlzHC4u9HIyh1V+cRowVRpX7poWkJ8hZ/vMZjxSmzybGN2om9yks/LexViz
uiLS+TjMqlmPraiOYZMo5k8lqQuU8k+urFRw69D/KdvAWvlcAPfRROORCuP40oso3kmnZSB38upQ
UJPGqeH4G6ykaGxWfJ8aQ86K4ubEj33BWlQgckH0vFhzfafNyFrgim8WvdvqgzenlDaUlr9vEc9P
klrZX/yi1TqgEvIIfpIi44yS2MWQTb8I8n21FLMsPCD3LNi9kK3vKIhTC6ow+pDnJ/0fxyAKL32a
MjkK/2wRPVphY+mXTSrj19hIptUwZ++FB6gADoN7LolRajknm5xd3LKwmuF4u+STrMl/4KBsART7
x6L1J5q6In9Vwna8RhHZKVgtsAIjPnOkdZHt1a11qOtqcXIYwZaVZeUvZBBo5y3M/hqaUlH8Zz4l
UxhsnGBDu8dWpFV6CHT/kAxq5YYDD5eJkdw0N0Yopgv5+mrTEm9BhB3vEqf55O1JIdaokwvMsJkd
dA2fp4USOfjK2dazsFkKmHkJNpU3ahZoGAGJugP6RCrJvIQ8P9c0upm32SDe4Nkx1n1pWGvuecHO
A0y0Sp24fuhLWryxr1S7nuTBmqArNbeySQ6iR3Wueu3ddfPkbBu2+Etqt869a5vkp2ozPICkwNYJ
Pw50JfEnayWKoIGk6VuvlsXwdFsZVxnRVZBD4bIoDcRQgvZRcUo9srpd2A8nzaMQ8dIY+6eGAtJ3
HVh8eGxC2V91kN/i4hE98wt8vqO5NPvkQdcC76QjdatJMPVAEdvIbBkzZQ9zOM0vSZuIPzkB60tp
ZFxzaaEl5Z7SJjvHdIRgoCRwaM/B1RIdeFuqhvl1YphaC52P0x5csthCcm23oIQUnpoxPUyt6vZy
KuSjPTrOFlJA/aWIYFFjF3Xxe8EGkT0LhVINTsLF3PPw5KXxj0Elij0UZW/nW0RkeuVQd1w09JxY
tfPGXXq49uSjn6DwOJfUpTs8EjnpFzyjdzZ/0wdLW/xjAPFcQ2v4KbPEWnMTIthoQnWYBP8LwBBb
Wtvu0Q1uBtUGvf+O01astQNsi+lDL6bJOMFZBqlNScDGZbBY+KIybgYeWF0WMHfGdKybF7P03Sc3
Gw1cXIQKEEn02dTmGr8HJqhQ8sTqQzIRU58e/BoWpN8Wz6NKP+pyOM9TbCySIf5OUyfZuxUm8L5m
ecmSoFzgwW64/Hh8hl1bTGcAzn8WVW4cAF1F/xfuwv+C7vnfSNEUCuudJW9q9X9uMHz+yT7y8Pdu
zP/zlX/1GYo/oNIo9E3IADY9kBj9hp+m/V//03X/sFAoHQ82+s1KeJMw/+ozFP4fvlCo1pzLlueZ
3t/5DOUfrKN9BG2PvTRPNvWv+Az5jr+pm0pC81FQVZgTcRpav20F4tQjXZQM4aYx20eAbzGlv6O1
pF+22/iGHn4SD+qIoXx/xzaNiMuYNZhilL1Ts7Y3Pthlc80HjWAVrZXyoVEDPesoRfv2JklFlAtc
3CBUZ5tqA0INTMutF0j4nEGxmbMxIUcNmOuziQPYIcnNdonNMVZvSoro2pZ5c66If9R4Eds4YLeO
scAdZ7C7w9CObIuln+3Yg7NgDId62ZGe7bmODl9BPNdrGtaOXjr0b4oY8VIWpYUoKlQ8L8ARO7ta
8agm2FJS0F47EFGaAuu1dh0S+FRfz/SjjTiXWFobVIn7ob5LeR4Vy8QBgQeD1JfnLvDifDsiIr+Q
8ujfYSjNBP7cuN2XfhI8A4jncWphUIK7VylyFBhhCnatI3aKFobyXZtl/bXOqYdZ44g0j4TGcrzl
00VMot/Fohm+ClPrPw1KvQh4ZU1z16ajwQCfQy6bMiGvgTnYp5bY+3OUuuYbCCGqSthm9lBw+uGh
D8J8Xdth+O1NuF+WoRpv//AMi0/Kv70jQMY1vt4V+D1PcOTaiAM4yz9VV8o9/hMmhT42Lf6RVKwu
WL0W29RMxJ2lWaJAsobQHBQsDzlWAEfw2Iq3lvLYd02i3jsRlaF9MxwKt+HJ1lnwHsIheuxGHl8D
FjBBxxkdmJqjMFjG3Tx8hFGVHIbJHc68obokWCivNDgjyC+EmcvhV/urfmyKVWoiKPtzrXYuDrEr
FA16yEajOt5AP4+GQWM7G+zqzvW9EGxyMdHhN9h3ERrNGnEk3KlOm0f+osHeMppqo+fU/LOa5/kQ
OWFwX9g5wN6EN2qNnvvZotpsTHtsEJ/Qx7nNPle0egw+Lr4g6aL7NB2JFHCHeCGLG2zCznM+YtFN
x9isSYbYdMkoOAy2Wzevplm+c1Ukx+mSceXPdG38vgsXeddiTCDZEj/pcdgBfb4vLZYIyMKqRNuC
RZOiOy26kfsVmLhuh/QE2Me0rNRdlKjSz3wO8O9hvnn0U6nyndmOgFrwsb01ruk9OxR5YhvCjO5t
+X+KGRJHm713TDfpk1Vx6wT7KS8mL1+zINYVLCzPj2kpgwW00IVyrnniOReACfZO1BVcukkzRgbu
EP8iZV9uarwV7WIag+bTzHR4+1B6/rOLDxYLTHxLYHLe3twvaron+h09OFXKjJZwn8Jy5IX3JdxE
a0W2O34cPY/GvAEfydqGWPJeUvN6iWNnOEzUnVwAbKIcDzbU8Yg6VabFTjz6VuXuqIQhrh/ArX72
fHpAOu0OO2I906efxZropVXUOwpnnE/e3/GvSPU2FXFSMLbkkxV9CDBB2bIaPSxwjEQuMyK798nU
liSLrW3wDUVSbYewatnryiDall2a3zGX2c+9JokW1NJ6SjX1frVR4brlRVH3Ee5EvbJUJaBCtCGj
jdmFd/OQIPVT3LjlOG9PbVTqr4S3MH/VwLauDRPMCf3PXgdiBjdlq/goksyjDEXPMB7riaurawfm
UbFE3vnVEB4xRCRkjlIKYTzyTyDhDSGeYb1Dn3Dp3F7z+XUvbtrqByx85qMD8pO0MLnH6FDOA2p6
pk172RE2+Brmm+9Pm7QXmMhvSy4RgFC9Q1JN3N69pKjaBRV2Nbn6IiXMM1TNOqXl9WCDt9wNfn4x
kxoHBVQXY1XaNIFEfit2oyf0g0pgZEk+uGsogfG25r+4M845zeM2W3IgQkTF/TuqbMMzJAHvK7X9
+DyEQboRVjEfqrrtj6HSFkqmND/TuUrppWVHlOQBDVfUL986IvkbWiGFWz6h1IxOlyXPovyYTxOS
IxLLsHa1/hQNTqRMGDUplVy9GlG1UV73mqis3PLRj/YiVeuosqIVYdD+m7aqn6QBV6UaY8IsJmLk
YQNNz664mIFMkp10MH/Hd5bhALcNlPEgjNzdUYKa70MjOJhhzcWlUKO5bgmTv90QGqAwRFg/WAEj
Juslo1zXjsWKPnuetTviSu69TREBWYEDt8/KFthzHX8mBjaqg+VYLrkev4MkFDpk2M1uHjdt4PSP
RL+SMyb3coMxpr3UlnVkr/pnN5Y7HL5E2xoqBTB2d0sNJe3iFdaJOPYMege/LfNx7Udg/v0CbDF4
tiN8MM9j+MZsRbY9yLYUbPI/Owgj28pODjXGRzzikJUm0M6kMFbCa4nWx8VQ7vo6+9BTRlNmprp3
GxnAXwbRFJ+RqvttHglSd+ywqseqzertXA0eVRGOx5zQjx2o/zDVGwsO3wpStI091bB/YKb08Zoj
XuLhKtuIYcYI2XjAyLmh1RrOAZzxGNAnix6Z5Zwl6isvmu7OVe1wh+2Ecp0cSdEdOMR8nx6ezLbO
ReHd8WvRn0AOM3m2G2yJy8Bvh2IpgmG8orN9+7zd32epVow9ZwDH3SZt2AfyQKweY0V4C9CQtpf1
2Iz8UvSCsCuxHpI+nt/ZqZrrkOn/kNg1bhBsntXSHNppafs1RkEvlZ+NlQZ/hvzgBf1g49rzabLV
2nA3tV3WL4Xb57tQZTQhuIhJNX1vZRKEV9C85VbPg/xlY318G3qn3FDRKIF8onLFu6wN692Q+9R4
QziDzFzmPfohHK57zgDM0lnaX8inYAxlILvGs5se0PqoY7YQBuyqMvelli0HkitJ6OaFtfSs2NtH
Na+V9Nv5y6qkufMAca1sOdODoanBW2kB8yWSW1hgL5PCg9FKqD1ygA9t1yurwf1rDgFex7wipaK7
NQrvj+0MzHMFb8V0VGvLhFvLg3il20GvHGWslDU9GHZlH1CgnT0bArmLdVB8SJ5nQKoZKWSj63jt
5eamhGzECQMsNqk97wEKwy1iCb9Vl9Bv84FaXDazWJogRa6oO7kB3qxL2HdHGBK/hGjge/ccU3Qv
Me1/d1nDjlBieLIYtS5+WjibHL38SEdBtDVmCLvNwKni16J/bkmcvBCMyVixjf1mEOPFDPFNUpGE
+Em/2Ip2BrDKAxUo1OASenRKf8NCf4yWtj2+80X9KSaW91kT66Uiy0w2NCbn9Bqk9iuvN+q0ozr6
CMoyJsIWpc5ahhie8tiJDi6tpA9lz1kedKUJywdMhEVi4qaDBA+mgEelzTxlyY2laxGVqbznE0p9
VVlG9Yl7iH4AoSh/AOOGS6cN8jsie+IiO7DUXZ3JH5/Q91l1PvDmIaKohK34UZqKfXyCLfkdn3Z7
5rGZ7fGGkRGo3K/wFtakwhnrgJN0l9YR3rvjtO06p74tX0Bkvi0P7KQ8owuhyNasbveFRqXDyFZO
PD2Qt+irzTcZxpCdX6PYGtKdHgEdN/MKI+oBRHCwyiFOHOwxna4sR/K7UUdvlBsE92ZQpu+D6VU7
2y3jFYCkrV0zg09hUpGrvV3o6xEuXSTYhlK6fevdC/Hd2mINXZPNtK9i5K1UvppcZXiZPXzCHQ88
5sfijaWXvIVI04MIc97AdeOcPMF2dDGHHesITLnRQ2hlN2O16tYWnruvYMpSuoo59wLP4idPTb9p
aEE5jS6bpMKtXhRt9a/eDRRtaWWusDm/1zUV5iGlqX5b7gWL7rEv+ntO1BEuByPvysTYjHBlwD4B
XcE1qyWyOnxhEOwIQZb6kNQ3qSTp+70thThgZKeWvUnN1ajTYDfA4vBNSNxop6gM2ffQm5gE8VTt
k4JvxQhLmdOQ1V+TEYFX7lXIdjDOUsIlhYEjhBo+j2qlTT7T7FY6g3NnSI9G5Sit7weaLZYUx5TU
XVfVpUtFv08sdlvUYbkLrj6MEzRUkQWZ2rMmCbYc2cc/BQFswYZauo9U+DO/CgErnc/RF5cxa9/L
WqySwHAWxHerF8OYh8e0n90SLo4t3nO3MP7Urk/nRWyWOzlO9FLEPhWyVABrLj3k4O5r0tp4kxvi
EdSiLXtAhBuvnCZYhwRbKAaoKC0qG/5e0vXTtykfAe3pAbK2kQ+gorozgSPacThSoCMswN3j2Iwp
L2Pg71v/RAUm378ka4MctvJjC3DoYB5SBShAuxp1dNwh3z97nce3EX18H3Mkoifl067x3HAzOXW1
7+2i3UOuppnDLGhP6UW99t1AXQ1p+aR/iuCLdQLH59SBbu1r6W/587DK0b17xv9YnlTr6HcyyB2z
kZT7wmSk7WysRjDUUaVEZsXmzp/lSGxIGOOpynMe8VWs/S1VhnJBWqKKGfULbxPUifdlQjNzqImQ
JHGzwP3TV4YCVkD/0LVkRFpjJ/IvLSrxG5Fwirf+Qvyw7PFD5ZHm7EhzNjndZPIsy+cHciD9Afrn
+GA0zUA70pDSv+K7FuZqd97PKBWPvvbrD5Z+8VbVQ/lWcr7dcgv23p0cDTtyqM9ea5kdluZS4U8Q
5soKquKhxanB5qDo6x8Tr8azkStgpU3vNGclCwU7Dbwa2yLLe88au9oSHfkVp7l/cKIoCJH4Yhu7
gTDZYdoxrYdpu6xNopGrknXjeXSBsNWBZW2MadJvnUyZXCmJvac4RWFdyopLUPfyAprxtjTBHbMq
IiIuwLCt5j512/KO4RpPth3iPKkTi0dNxSH6GBZV7eMskNkezpG3TcVcPyUlMyz1eqnegc5yVoiN
3skKRci2LW9elEn8o7BdXGBNGl6dxIu3QR2QYPfnHidurqyFbIb5oBnPKOibhzcIRP2zzxT6cEt2
b8o5sa/aGuOD39MJELodZ1EwzBdKdEp2aqUZgpdNxDlv4DehqcKMTDK5p2YTh/kMyIYSxUTJjx6Q
eLnwU9v8AGOTVogH8/jqAI5Ca0n8BuGhJf2xBgvbHY0ZgK9N3QSmqsCYidan5ZlzvHyPxqC89i78
OZI6XAy8tsFjbRV3tud4VHmk7sGr5bgQXS/ZGFn6IquJEStpG4KnbhL3b8Jla01qIroLnNHa1o2Y
YdUOqXqfBR4A2VAIRmlFhkFPMnVinQML0TnV2mW1eJ804KaMyfsoBxSQKDG2M6LVBoQC3yTxWdZU
CrYRuUkiA5iuBiNtYMagPQjNX0m0Pu0gRobJIzPZ9KRNRxZsbtWn4XC/GOeEcYmqDuiWrlGRwrBF
GZgsVfIlvzXjraGwvAVJdo4dyT/WGmmgGh2qVv7fOlr/Q4z8/4/cuO2om4PzP5d1X9r2o/4f/wCK
/tev/Kus6/xB0BBcGnZItE9LoJv+TdbFwWCx93csG+zILbn9V1nXNm8YdcRWLm+WRScVX/TvplWc
riAA+EqUXYEF9l8yrf5u9RbA1IRDnArz6811/Vt4vKVYUJEn67dl0vpPWOqmu5zPH83vcFY/6bJL
j4MJi2X5dy/UP3CY49X9XU4m+w7CQQC84hdn+ffbT+4aEs2j7PutcrpgE9e2LD9YbTAjxL1wNCFw
XCG0VQzdW1Ym5bwenQL11XOpt8JkM5hqa2alsIjV2Nl7UAW40yZ86QtHTGG79GpK7c2mDKJlqoOm
2w04/2mx7ASIXzEA4yJc4E2feKcWdkuJIceU7b6DrB4/psLyr9qkS2JN/0f/QNOQW67SFjUlRqaG
s1EGZbLshdW95Q5NK/iO+5Wn9dGJgaUhkU8sdvEb5Z+kd5dRS15gLkSxaoLiq89YTpKLS+jPTl0w
pwpmcmAQn9AlXSsRFwashaEKXgw4GAn+SaPY88jiVhhMPwwJ6dZETg/6xNq3FLXiDYnuvahzN/3I
nouhJV0aIr/GMTr2ABKI39Z66j3ozbFv4YuteAIkeIMyOp5HOFnOHZBy9j8gQmEshyvcs3xhXckN
gDwsL3T/LlSJg6YerQ8Wd0QUfedoSkaeKKPkxa63VHZvhpopHDJGTNiKYKXCGtDckC4NZsAlDOXh
bqi76mR2ZbufA0BTQQYbrSV8tCpqHMlc5vNlFza0Xg+xu8YZZkOSR5ppZdjtLbMRG4iqcu+YLjvc
3qrWou46rBVNvLUx1C1nmtGwUNP3m6KxbuAYkPnVqdr6eLVWNUuw7TzU7FrpJKXSWoQQAHPD+S5F
H+46h7nXNZRx4YmKe4Vh5XGasyZd5aQX4bh1nKtk62gEYIUAJ116wCJXiA2Ov0o9RZPPYDvNxwQM
pMBAafN3J6blvoed453dKRafkFr1N/MpsjrSirRxXeFTDov0ZI6I0KuBdPUlsfyK8g38AKZjHEhh
lAea1ItXjXeO1zqpUVZNWrPndS2HGAyAj5eOXXWhFA99VdxrgvO3uL2E5U1dXr5iUSlxJkCCWY7C
JlnRaLEdIQ3obWpE3pOWRl3RPuKYq0qB118Tp2xNikiUdzZrG6dTU039g0VecuOE0RQewrBkFEH+
dd+b1uNSG1jpfKlcu4iWFbS2x4murP1tnZEz2Ib6BD/c2kPogzIYmV64c8iVPhd1zSUThBbWGenB
/mO/7gw25t6SNJAu+it4XxnBtHGhiKvRuqV9nXpYexIp9TANrfgpKqzkytbimto0oWxbLZxfjGeB
vyHhNdULu6kIEyygYRmPHgrORvnVfEwbfNILS1osQWmdoozQpnjwubNi2qbjiuBHaYpNyX+oLgxj
97FDEcHxhacc6LLBHDB9qzD9bHR0Qj3dlqbhbLoJAqvurWzXQ1m7Uw6W/MrpTnELY5AkX3ry2xjI
rED5s7gmUWVttLukrC45JWT3NG9/R6nA3F/UhB3bLNyZiVuec7prNlbIbwRxElmf+vj7KDDa7Wg0
3hHZzlrT3lB8zqoGKaQNdTGnBMO5hqh7Chpw71oHIa0ugxUf/YjOHN7AHnHOOZ96QAqThNCGmHyg
yCE7Qse8G12NvCAb0dLsS1pK/VTFdHPkuOA6ll5uaD6XxluLJzJvG4YVJeQLSSXAhoAaH0DEIUJF
MbscVJv+MHfzT0ndFk6awnE2UV0GK+zz7rm3HdSRFGUOsEe4HnTIrb2N9L1hYk/CPNGxogZA8Yjz
PEUqN2aAucxNXGTCqv9qDQ1keuia9IYQLEA1tdOdV1OBM7WFBTLAHsEUyoC6b6MPP70+aVZGLr2d
7d0qi6VrLkle8WqMlvUC0SsCWWCytoBBtpxG3sDhkF76wKHEKwx2XWbpJWiVQ5tF2FUsFZFbl784
neJLTmpym9VVmHB9m2WzT+x0XJZBlYZrqCIm67wmFPnKmKr6OzbA7y7IuJsn2Fp4MqyAWXMd1aTE
EeD78DxG/WM8henr/6buTHYkV7Lt+isPmlMwGvuBJt434dG3OSEiMzLYd0bSaOTXa3k9CajKW6rC
00CAJhdVN5HX3dmYHTtn77XREhIFEDjhb5Ha455zBJ7NiBdm73UalWrbMpTYaq3D224oqteA+7TW
xlYHTlT1F0Ix9743XfwTfKXtPpFrxjI7LHVKJvXgCHNN6FH5BjYKrTKLZvK2aNVySTI8z/kofrYp
2kLvaowqpU3kahZtjKrfLWIGq6v0VZpN0RcOuhftOzbtfPheK7cNQ4YzXTY8T4UkLDoGTHkb9MFk
trOvcBnrqbufw/ohdpheItJQm76trPtywGlgrKnjP8p0L3R3gtD7jV279kZ2CVlRyRFZGWwnOARk
u7EzeUrDEcgSfkJ6ibT46gLzC3Ihlvw+oFQQcj5mSwSIxXTyYFkAFDKg5hspS5Sqpdkuo/L2oaZY
jsH804BGXtmkBuWyl7wmTkTc6jDxAMQTy3PiDETAuQR7VtaSPlamna8Sup01xduMM8pumEcJFo4k
ntJCTyuA436ZBPBLDPX1Uvb4/NFhAQczBrlN30lY1QiR24BuC3do2lILOuseMjQzy+UFPjMXsvqb
74QLW3Z1fEExhQu4b18mL8U02NTqMERIrik1wPD5atg3GKf2rEAhzoE22YaF8rcClwg5aK5/wMGJ
uzOH1WLNvL6VdO+Iu9zSlcEUKZU27h4LTbYlVCvZK0zcyFyVwwvP6eFMudB/ZOH1pqb0AHYjM5d7
6HTRNrcHkmuaOp4+cPmVj8GwiLOIyuKbYCmabWw5R1tH01uOwo35vGnoa3qiUWvXjPUmCUT8LdJl
PPgeSaxweSTS0hxym6VD2KJNZqf3iRWxcxaJFic6E+AvZO58RowVb7SQBv7+UEwrXCZRxvWm2ZhE
FR5xjV3nlBB1gH3B9s4i1PYz4rH4d9nHC74LOOJ7xlpZwcJkx8d8gLgKA7qG/Wuu1DvHyhhOGRIg
REK+2B5HEB00Ie1Xh9TSleu5uE6YhEDkl2XyxWBPgI3HZNJwE+rqHjmV9QwEPj9kaT+foRss+xo4
97uLevlME7DGxkv5gBmnxr7Q484+DQLC/xY8wvJc5PP8e8z9iteUEd2jCiL9GGF64Tyc+emG0nZc
T5T2u5xkhddwbsRtnNb1KY1tsZ8l0VxsfgwrVjwHJAS6nbupKlGidLfMs54q96BrNI9keQ5Ukz42
tb4JLyU2nzOAguDdKidUdEnXvDtufMRt5a38IblVIWm4tPgtsm4sT/s8Zy7iT4Y7zEwWprO+XDLs
2w4pwIFSNLvQ0KAFx4kcdNcEh5GuI5hMzg3AoL24uo2jIN1HGI1WklBgupYzIhOCaI9ByzeoYZW+
OL5GN9WowXmO48knMM+SuX3PFsH+hudbzyxgtr+pehz2JeoHBv41BiCnXnYo865dQ/ScQRl95lim
yOIjqIV4p3kvNdrLDiPGF0ULdg+MBPCZcP0mDM/nel8hiTy2ne4/eGmXRwtqEUJZU+OP5UNCS8ht
zhBm61UEVvg42+4bo+Tt1AttPhtHGqTrJuvKJwujd7AZaJLEnEQ44IHSS/IJlaMy0P0kaOJVMA64
7vxQW3sP+/Nj5U7Js2nt7Huh476nbZY02wXq936kjfTQztL+GJvIfR7BvNPAUxIR3ZKgGMyzrH5K
Kiv9MhPMSMt3nc/OlWQqElmYcTta3zwKCtTfymFAmkwNjR6CrgkRUDZrxdLB7uSO2qxq3tAlaMkJ
glyp3hnffG73ZxEH7ovnC189h5XrD7dx07nOdsknWW/tPuT9qWAQMJ/N7XXoJWC14QoH0P5Ge86O
LUBusxkZcObU7b3aDtXsQ4koeHsJdArtTcN+eCaa5wqHd7r2NlFBipqFrJFLZ7UQdPkHmvFGt8mx
a0bno1wgiNbk47y2kRw/JUcibJRt96g8QrctrGSIkjYtjOrzMCfMTXkOMfj64jOHffUjqaP86KO6
e80Xbb3bbeOFWz+a3Q+MeOakh2ne6QgVrlwc/yFBeIWxKDExqQHllrjS4khFnd4AQ5oOHRGeh5FL
+KmDRMOysfx7N23VjqHcHq5rAOg5n09kW9mbUY/5Y0221iXCN/C3yRiWIpyC6IPCjh5nUM7xuVGL
YsUJ4ktCSjY05y9LV+aBMU1MOGKnQP07EiNX7+voGw9CsE7hbe1c6QM8m2T6qsJofJty3pzSqoe3
vEySDQHYzqXG0HnKMPg9MJn6TlyygSRmmseOcva+hABPdZW1v10H9X+WTPJQ94X/vNBPPi2JEFss
ItNrYTsQ+XFY3Paxl983i3K2syKwcFvZ7XBjYhfyqIWA3E+q9EHTANg4bda0GN+m9h6AQPmzm6X7
kKIJ2c1LRKha2Kg7TS/3yEjjbRQmazYmlFgiya4eiWYhapGRhNwV47B8pn6JRsaM1wANhxoI1yfB
yo1kyk8Xo/SL6D2jJfcjZv6y9xLqNL+nTzrTN/2RUYvdQmqGCtLHw2UMiuJpoMpjlF1iQFqI8z05
rot9Dw7Ii+5Z78lMGX9kGdGW8TJkn7MPnQUPFEdqu6ZpTus9RwyFaew3KUVig+8KmWvEnhJOCKGZ
YDN1QZuAPjy/1EjIX8vQ609gs/JXi9RNaD5+xUkQBgPjBPJoU8e+DyIhT/HVCAkvrXyGMC6JFq/q
b3cyuNEyUcvnkHryVlTseUDBYucLyi8nrFFV6iySHlXpEiNnsnjQaJkCYrdJXCjGN9I8QI0iIm/f
BtN2EecuYz8V3tw+Bwo2XA7yw6wCkC412IGufu9xUX1OgyAMPEpYX859o3AWsvq9Lqou/BtIUwtj
L79y1S4vwvgzGSbOV96YOT+1X8Nok9VCWzdoPs1ktzTbRfAGqZVhKqkINwmVWoZgZ875QoSWF3VY
7rJr1FhksXrbvvIOXMn+Ttm9viyFHj7HatRnWzNn6GUYb0lKKg/z6ODZTPvmhmmIvWqSrH1Xgch2
iAOsR68svHVeiRhx1XpgiW/WAG7qrwZRn7mNQJB5BzKiJ3SCpPeuximxXyGPNemqLUz2rQWoO7za
8xZrrvFXMZMrqIbIRd4KzpCbJM68A7AgMjH58Qk1gRtzoJYgVytawFrdzEKnHzLK7OeAvDvcTPbC
d7D6hiCXECWAlST1q1t1332BWnzbBXP9uYDO+G6oQfGVWSxDdLyh9HTNxtMW4jeT/SwSGlukl5AB
NH8SzjmTIsU7PQ0DDs80F9di7JXxe3NCu/4k4knuEzhv5yQHfREl2G1GOHMby0cPPpIMmI7h45D1
7l3sxNWNSFxJMphb0QUwcXH0hro+Y1Dyj/hPeRzILPJOS6VGNPmpc92mKiRQoFijoGSOQq48ueXL
2YxkzWfJnG5oegCYvSbRpzw+P9u/xdMXSJz5+2TW+6nwLpoT1M4vneExn4P7eUntPXsz87rYYgY8
2EieR8ub9qUFlx6xlwKNL+6uPaEPgfkPW0I72c6msOr8jsruSm9hvQKRGUKAmsguIbwBKd8aByP5
yOhGXfpvC7mQMO5eMWmV/iqalP9AaVAStZ4WMenvGZ3/KegPA3iMdc54Z4P0g8jGeOa9LCFZDiX+
2t2AjoF46rFRZ1fRS1y7o4zfukRLAFlt/5HPjrgACEOChfmYBZwspAcnG7tLx6etG+y39yn4ioto
Lag6KGOD88h06+A0mItkNvfndhDtOSPUCmUuwrp6giK0kTXvKbPh4Y7mWj9sPaenpAmDitQibc0T
aLU23ybu/Cti8rKBiu6sl0SKL4s58VEz8AcXhtGMCDnpsh0tzCeXkIi8fEx2yhPLHZKEbJ/KALmK
nVfhxRC397BYBkU7YRn8keXUBx/7JsPmMji1Xpu/IIZnFSSjAmSW46tVS/MKDB/imzvOBPLVT2eS
ZoXQ1Fwob52ezWxo8DXjlua4Z2NmktZLOGjy5WcEsnABEu4mIMxtbkrzEMQSOd4cWseh9NsTkQrN
eraABYmMAsRKmmzTV3nGYtwTAIrQBKzinRbNsFMFkEGb2e4M2mfw8AeE1U1pgmnnlGynmzrN2xlq
TDxsXSflHW807QY/nEFMF52y2XiwYtpl1L/CD7VfwwnTHkPKPF3RuSIIXPsEJwZlzWjJnbL2GaJl
JXZEtxjUT8zv6x0hi6I5a7wttGTbBqVdRfNjXKVFYr3BPOtPIdnK9J4pogvo7Ll+RFqlMob+fvaU
BgvUgjJCkLlCauQRH9Nl43ceVMt+GSf/RyEX/zE0UWPvgrq04FyS2VzuPAyHdEI68hiwHvgSDy8S
8EeIf5TIE0NnvSrCqH0bXYdcMkvMyzoKJ+EeTa9in8Rr133O3KV+78ji21t53d0ZoofhU3hd/6Dn
BM2YZEB6T9i99ejoKyitGD48Gz5QHBK9BAgh+mE1TgokyOCHdgLn1Ieyes17OImE1JluB4dOItO2
Sxopw5GrsDDZbw2mtD4gMh7lwNMwaLKn43l5pn3pncJOBvfO7NNiyCfMq8m4WD3WVif8omvge+sE
VlWxEorRAVEBlruxggl4LZHZRMAljXnPQp8NghbqfBkqN9iO6UPWBuO4Ibooei6Qt9wkMF7dwlfF
RpaBuQAem80BcW2LiI1A5Z8hEVwNNjuDuMI0FRBVus7eA7IIB9HMNJcReKWZIHEgZ9Lb6Casi43j
NHih5lnel240PDizXN5onE8PFsKdGY8IQrra7fdD3zovDmriO3g9LvwHSJW7BkssHmcvvwO8PHMu
n4iYH9oiRRrkl2dIbPpeWbLoaEHaqXvuCKwV3IIrmioNEfTOGVXWeggs/T4zaqT9T3G9Sz2T70Wa
mTuU7gi9A7eI0HRzIR4agKMWFHDQ2bENHnWdubb9lMQ0eldZJYgWyBjF427kAB35i8d22ntrMj84
SJnK8W5VY/eP0BXFo5yc+m62PNKdGNV3HwsBZbf+khNyp8HWXwR0RNo4dZ/Xh2zo7Bcf8vkZ7QcQ
0QqdBtlgI/1PxKZVcMpnK/6VFdXy2QKIcrcIjjh7atEBndeE+G78mQRKJrK6fONp03pdlxk7AV1P
cwdhN/41WcN1geMlQidbvgWBI4+OPSwX3MXBiQE/fsSu6s+s7WxAfSS+evDG6SZq2Pkg4lsvvpW1
D8ZXwcmgF7pxp0EfFycdv/vRRYrAY9utAIh1AboDY377OdA4VY4bzhBlvobPXx/wNAYnj3V7o4Om
fHKN9k7E4CFpJDzkq86vLMDFxwrWlqI+5G5gqNGA433arejTbTIGzSNHJLrfmCReCu2ED6Qvlr+W
NgiegIzxD8U61Ce6IzjmKgFGCcu4Iwt66zTghdqOXMOneuqHX+xAVbi6MkaeLZxuIHErJbNt06f3
CKf7x6YpPKYHrC01ObauC1xiGO4rJyjPLQmcz8DHrmIsP7j3DXlrKzFX44+Fttp1Q9byEo5gHOKA
U8kKkmf5WBB8ALUgymWLmqdZHgz8Y8xY17GJyPwHhlv1sRR2+thLjwy4wkBv09BlSYWFHalsAKIp
FONKz/6Jv5Zgweqsn8YmHob/+57GutjaWWM+OTKHtyNBevezqb46G1JdMSKMSBtg/Hk0X3yEqU/Z
5Ex71QRYO9Loac7ghBZ+eVXu0Lo8Dj0ZoitnIggwR4H47EzXUCg/4OWZ22HjlrzXCKz7aac5vjKh
GelwWMgQj0SkDj+CtPHvYyFg1biOUY8uBT0ngdLDqRICnFxpckVOmQYBvJqjpP9ICqNumK7+ahSZ
Bat26L27NJHBZfIb98HQzvhRB6HrrQo7TgaOu4xv0pGnaQIyyKqKcyGrgdoKegro4OR3C8kBs7Xo
RngeTQ9Ig7Y7KqnCm+YKZolMzqMV1G9OwpYF0IKSJb2irW1JHqrLtAXDit2+Mk8djhXXFxn00BzI
HQk3IhDONpxF2OyF47nspglI12wYqh++E2PeiZdxW/pz+K2R3p4RQiDTZ7v/EAQYKJRJJWBLEDbR
CXwChWyQM7dylpETjLTT6Yw3nFZO1TmbkGkO7d7W+2w9qKZIrgfrGFuA4Fx6JNnKo49xGYzHIhcF
XXsNV0mfvJqZjxPZ0zPBb+5XM83mZ0bZ+twZ/KQrHz8P639cjzd+lBP/tjjG/OiKKzyRVSF5pUVK
abJUnPHQyLEY6zEMmMMUg8NGUwzpZbKE+Fk6eFm3UxtjBlAzG9dcR/4xbgIBJcGBHMIeDK+mhYk0
e6hvN3mdQNzsvdbdtIkEI5PH5fzWhYVkbpNGOylb9vy6A28aQ4eL100srXgzBNlyGbOY1XuYZHEK
Ir8/JaYnn9Ar5uBXJHLion3BxA+9bMNuJbOWwE87muEFVFmqVjTa0CrlKbsYBkw/1yvfH53uJjKG
j8FLmBziHocl6R6u/VJqxRxF1sXZ6MA0qyG2rCNN9gpFu+qv/2LipUNVmskXZrYEy04MRAMYt573
hUiuJh/JcR/YvKhdSrbLVYw9qD8OApjfJpCLeaffjMsSOMhzcj1dkZoHECaJzLB2mQ9uJ+DOIA5L
cQkjLb8KF7XxQLtvR4CUStcuGp9456EiWEc0h89LJewTCmJzOwsm3oTJ0ySvUuLZOiW3gMZs3iyN
LTefHlyLzmjaT5yuCbejCD/NcV0eMXtZ26Gw+800d/q33Xr5ZaScuMV2zPq14FEPCNG9gYIlEQny
v3C645myx168C7CvMF1SMjfVJLfNIBBQInYjr9Txhvd0bJcHpXV90+CQZYxuW1swrNWxtAPxi/Sd
YJu0obqpxgZl0tLlat1mU7YZy2n51SfQCOH/Bke1gCWmXqdN3IyJt/t/K/v5B9zd/0e2TwflCoKW
/7M26A3j5n+sfuP6LP+eZve//t5/KoMi8d/RNYckSAR4KpH6oDb6T2VQiHVTotAPvch2wNP9Hc1O
Xr2gLJWRCKBpsrIAuvvfyiAbnB1So5A8I2B4gftfUgb9lYpI2AXAPseTwPN8/w+YXXAluZWM5/cq
HYtdJ/JopROwPbgPiUWp5+PfXZ5/pgi68h3/kf/IacImiDHgimBn/YPCmEuIPpGI6I0WPcGFssiv
/cbuQdsAQ+FaTZsqXpiD0TYXsFBnzfgFitlItyku16wlDpVNTObfv/lef4nXIPFDYqx1hScJWAr+
0CldT7huPiOgpLv+Y6j5HvZEgx6TxAHGxykiWAZsjkNAUVaaTTpfPJynp3/9Jbinf7k2jk3DQkgf
jdafWimOpX5s8jHct3Tn90x64hNwrub5X3/KP7njLj+VQtKJSB+Prn/+d8F1AReZxT4Pwc94BzIY
30K0TYcpA7bbTf30by7sP/lNnkOPhTsOLJEH6R8/jaQCkjnzMNpHNUwdE+J9BRcn/82n/Kky8wGs
80bggmYMQQv2j6dKxoXdTV4c7Ik+4WcUND1gzT3qKvv1X754kY2gjazqwEPq98cHedbCFb0+vnFG
B6iy8m/kOUzpnPoeQN7t/8WHkUxMsI3rCU/88WFmdBt8aW6wJxEBGUMIdz/VbF/VgmDL5P7hX3/c
3xLQ/ng3ES6iuHJZEVin/rhXmR26C6B/mC6WW6yUbqKbKYjFYwlTCacFZOGWhikp54wGlia/Eomq
+Cfduno11cyTaP+qvVNXeuMUfmyvhIei0HfCckOg1nI/yLZqN2Fao30a85r9r2JvX6l2SfWK5AyC
PIaFKYmX+3A5cv9BAXj/TzTBP+Qe/Uc9VteCduj/x3/7MwXOvT4pJIHISNK0/evzOJGIMkHiCfZJ
ncpj7lnhcdaewEvmvVhzvcMv1YOgSL4DJ23ZiQv5jHcu/DeX+p89rxErN9lAgfCYIf/xVuRg+LHJ
RfuyHGmvuKhLhA+LDt/Pv5Fg/vWTIsHG40gQ1x7X+o9PSlvKGcYR4T4A57c2IzY9bPg/MHHL7b9+
fLB+/nVpYTIhbCEZkpBR+Lc//7ulpatsxwpkH+xdKrNtoa3sKlU395yRzCOJ6SUSj+GZ00y1zceB
cccQClBqAAwxMTe4m6O+LfczkFemQqPnP2HX8z49OgIHRg9DuXa6cX6K+sG9oQfUnIsUi2itgBut
WsLKzK7k5jNytdGEVsF4xH0AADF1fbr3DIDJdOw2SnVy63gKTXY3CnjpXtJ48X4aJHz5yo4vY5p7
d7VnG6RMae/D4DKSE3mY3cWiyj+RFVRHF5XD9pqIewCPBsBNd8Gx6IbgnRhx926S/PClR1NkxYy/
gUj59PNkfLEh4kScFLZl3FZXXJxao5lAi4/W5tmVqn2XY91+hiQqr/C81ziv5o6zd3M16dYa1j4O
okMmhvzJEm13F4oqZGjH7Bx7k2FsaCane2+Nji8opOLXNFqyvSbT5xc2X2rzWDgfhZW/1aWM0ApY
BLjkA6QTUCK3QZVu6OUeHNeqDrW24cIpkn4e0faC93NSPzwL1+nvFk3/KBk6f993hITzc2Dpa05D
cUn0T78QgHHSTYbbiFVqvonoYKO2KxjaoAiJIc+OFMT7spv0b0omrgmdoJsUPh68udFG4hTHXDJH
jox63R5QaK1fPTfMaWN5bc/wRYnolbJtHq7TmgFNV+UCPkWPMXWoMZXvuTed9qtt04m4Z46JipfQ
RrZ+5gW06Vc51MRxU2jyOmUSqV0dcr9lr7l82uq9T7jz0wbwOboRoe1s67ae95G2cj4HkXQ/UCAK
jumiSO80hk0PjHvB54Sj6NG0EBTMyunOilF2NUWvjByghjsOclotRP6r83AKkCnu8cRHaNWeSOgr
EAmmU7tNKXFOFQRfZFzB95IwE8OxS67nRgxOnO9DSY77Ki/G+UYWVXciv8BvNlk5zbxCCU09hrx7
uVDgrFgPqp++4+lolTRIoaKrO0hFVYB/pBgPGsvixSfIMlvlbhLtG8ZMai2KqtqEdXxbjCY50Cwm
uovmDd83nZAO0DREGr2uEMURdmJly42c1G7UdndCJ6RAndfVk1NPtAmyeWcQaz1LEZktI2WCUPhu
h8lqkl3UDdEBInvF/TXVBvQEz0fJYC+CDTKSZQMm8pXeVXB25u43SpRum40KJ3jadT+iOGKIAA+s
O1o24mLfAiRPxhhMOnthLGShn910ZcHVR8FDl4nc39TMjNBqRTvLBYfp9Fn1CdQqvyVNYMI8r+Kv
wlm8eFUA1n/QuUCmxS0mNdkRhzyzyu00a+ybhl2YUlT90gwuCekktyearAqnyMjEDnfNLhRYsjDc
7IymQDSL7Z6BKeVbE+DGUVD4cdeeEphtDFHDbljjyOWgQK4mtIj4BeERTVplJ3cWLqMzutnok8a0
A8LPG7YM8R1vpWJFvCERPwcpvAbU6JBtjUdfG3A+OKgC+oXfUhzTYoY93+r3MIQqFzaC/r7HZHMa
x/Gg4qW+DISJjevWnZYNYTcuCAaVl5hLaEa6hHvg9aPwxqt7i9cp3eo8WJ6gKPSXdimynyZjxRXI
crCzQArtusLc97qZ8OoBlWjpM63GYole/M5F0K9ma1PPAZLDKH8f/QhTXF+ZdVTHPeSR+7isHpFC
lTSSKv84jQ5KYzKfkgXTQDmG1q5x/Ol3PdXEehQtHUreNct+ZzrtXNyyv0xxijqHlJy1mQSJ1e5s
3xAlQiwDaRflTpUBB/6ymXaNS+4delcOFKiPVzS89CMiuzrbKTfoYZ/RI8lr69vAAK6mwHumSFr2
I1y869jhdfLRWhEE7RE72dgXtx7AVqsbJ6dTH9gWvVlWcFiL9afdIHlDu20chZMwSZpV54KmwZO9
SbPF3Ro50YgYJ+e2m8b4sRbgAEHioBsL3YvboAWIQgtJleOb3TSN3Y84AhcdzHaz9uflnslauMtx
aU0rH8nPex0wEyOBad6hewBnGgoG0mu3tjBKg+NtX6jLzIOsM+dQ0oLbqwz4r81ic0vTvl3ZnRU9
pfzeD0znWm0KUyquhl+BU+xpOKB0KEc4s+hOY7EFg1borQ+lNwIYuwT3JawrJOssXm86Vf1PaTHh
RyAeqZFEKiS20EMJdx365XtGeQ0/+Sq3CMZP5srNkf8ctu/Q9LvcBYmCiYZA3rl8ZO3fCBYfsHui
2y85WlHpRMUHPKXuhE6a5v24LAwFr0LSMklBPKNitP2Q13hSZ7XE5g5B8auWGfP5yMJXRRCcwyZ/
76O72PXIIwrmuzaCytifeHKLvlwvgds9SV88BRk8tqbNrRXmdXHAJQb7de7dA7HK43GMc+gHaqxR
pXs8FBr+3B4wI7gOTJGw63qB6gr16TxU8n68At5qkdaA8Ag87FwPLsacn0mJuAJJo+abDYlGMm3w
w+IL/YKJEIdIZrzpNymnnrtqBKFrubqCbJdIUDN6845ErOaAnhlYetZ/N1ICRAZ7+eTYUbdDqnBP
CmJxmhfPWzeRQ5sNLqJ+hdWXfHtLQcw29+auo097DLwu3ll1RL61V4J9quIvFXXjLfzvZFdmKBX9
MEfSXuRjcTBamCseE6lJ3OVIucRDt4CZ651U7kD5wvONPaIJEzepT7nHkxAaKXa2Mw4rpJzLrjEZ
cd4z/trVUI3ZtGaWPKELwzIjjSTpvZbFsKsHrkjk5+U+riP76NKcX0FYPBfu+D4r01xMY25N2fRf
kA3Gm6512s2V18eUVt6OTtNvo7jvPx3iqpBxdvpYefO+aKxXzDXo9McFzSxC2/rUwA3epi2+7mT0
qxfTm+EWJwK9azbBg2mTUz1X6sVtUzAwyOo3XaTVV1dPCzs3RQHt1CZb03KbNq1kbS4aP7klLiZ5
IFalXjO59K+hi6QZwz5pNjQy9D1t8rd2hojTWONNKjW5yfO0BayBfWggpqYczUY1DMRWuln2qK+Q
mjKa7ZnjXOTC0EBmWfZAYe/BPc7jzbxgglnVTgjc29Sv/TVZqw3qrSZFr/azwzjZw5H5NLM8JnGo
CQIEw0hD2PuMexgyD+W3VaMFQdrfeMFu9jGzYvS3wlPU4DySToYGoXzWBk9Ahyd7wxFqQ9pfu6eU
L7ZhgoLaT/N4nzKv3jt8/kpV3q+h8+L3oALX2AL8ENPsoxlcDuhvXuahBxei0cVZ42uYS32fgljk
0n5EA/nTTmr9CrPmVTrFhWiFJ2AeWBsq+44p/e+k+K2mUO8RN44rkSXPsAFJBO1adAfBTebZF0su
kFbJob4plXWjeILQqEYkCk0OIxQT5LsEmT+7FILTVu8dv6veFueLVly5C2Vnr20SNddl16Jj8WaL
G9hnz2MDemboa1C/4asPmNLvus+ijX+YxrtJ7fLDld5wBqvLgLBUjHWr9CWV0cGrqucpzD9q2R0Z
3pY4Setbxy/47hJnht9q5m7MzldQmNAMWWO+cT36F2knMS5N3W7yy8ect+rIuOMnbYejP80bK+xI
fsf/MHQadnSexgeyT/QdTDLvbm6D/jcUsYimmXdEOlOdoszzdxqH7r6a4p+o+TmYc9x/HjqUuddD
Pq8sMKBf6WK3u6oHThVX3k5FojzNRYlOMJ7Saynld2gikLakZTjiD6nzTWijJojq+kK+Kwj32lCr
tCARr8DYvZVwROinrOBUb1HD8INziSnHwHldhfBFMMxxvzm3EsBlBU+hn9y5zpStfal+6GrZ9QN1
fu1TfVYFUjewpCu7TSjonegxXZyLk8dvw1zfktngrmrDfQeRIxhcluqYpkvLpl+/iIF8O6WxYpm8
fc9tKKI4DFroMz8Dy33zSzGsF8WePbc9N00Vr610RoAXuno1NEPJG/fKg0IVdnBxLm9xG86rtuvz
z0yPQIVcEI8jDZFTUF8nWEFnbboKHAka2B8144i96/v8UoEEmMjyO8+GQYsECn2vU47fwZw6d0wm
qe58p9zNKEN2FtMOCBTiUnNm2eWcf05THVMcYRr0pLpXAwcMrw279xR7OYyceNzTYnnqxqTBEoet
Rie3WNeGu76zkFCydmzdKPYvTSQxNkI1zfYZovrbRWL7U5kpdgKZJNW/enMKJBcjiI+dzKAPJPGA
CnLyzbPEEr8KatyZk0J/kDAd/WX4UadABeXGN9xSaY/tQabWuGe/Fbdtl2KwwZ52qroDaZk5geEo
NQX45m3CAP9S4M9+7e3Gfw2N9zs2tsS1Uet9WjriDYvbcKjt3HpqW61+wqdJ7geFOACLDOQw6HZ7
0D56byqQKBNyHPAjfbV1aeNsEBAHK9FlCgQ61TwcFbsPXqBUr60xGZydACcC4IgeH2SfHk37mLbj
kQRLsUKx/jF3lIroV4tfgLFrSM42RCdFKTRc5U4R4jF61Tm1Ui5wM3S1x/zO90+tGuYPaK0bDkz+
tuT13aGrHo8x0PXtlCPUUVVi7jOmx1SLRXsKglRv8F49pDSi1rrijgMNjw5Se/bO0EspAHqOe0i5
2cU1Sh1zUW7raDK7iBedsxRyT8wpGhG4oq5kYHyJppECty6JNyjsCf0D2VPtohU6Ounvq3LwznzO
vB2hHO0XT4LBL6bwFBMqT8+lYdaaUc1zAHuaeun8KGpE3b4ZSCBwpncyQ5k0L+WlM2n8VmbLF8dx
9RhNHUjTRFlIQqwR7nSh9JlwxBcpvTc+tj/VKjqmPrjXPqUc7t15XquYlpvEc0EuSafSWyksekM1
uvNtNQp6QZVl03XM/HXyP9k7kyW3kTTrvkvvkYbR3bHoxc+ZjIGMUaHYwEIRCsyTY8bT94Gy+q+U
sirTat/LtDSJIgjA3e9377mKYhIMm9XOi8qAnH1iu1+6kHk1t2D1pU9YpmnXAz5SdIRTyYlRu5aI
4g6toniqjMFfaz+q3pI0cu5jyIUXu66dbTRxNMTqFutLavvfavg29+hxMFahFmLIqpbevhlzhi8Z
xFOaQzVxoX9U0m6FP2KdG/HwVHUgSEeU+d7AO7vGdF6sHGnFpynCVQPopZQrZRGOTYr5dWhc8xDS
lfISlRpLepJoFA7xjUlqwubAp57UofmV8W11zpygXKf9FF8znkzokXCSI7ffHWBRGLe6COsD3bDR
ddgXxIfLMr4ixEzhp4Endb7KoLZIjAdOfzfBbProk6G2TwZWEgD9hM3WjpjlC0FqWnHdQY7eVndR
/EmiQcu1U01JdR2F7QRljLAg9XS0A2+VMbbuxk01CCnhdVu8hZz05nZ+pFsZW0qfsTpOqUt5gfeQ
iI53pq/T9zyAUIDPf6HPjuHWLESzTpvKewrS4iptIUvllj5lEv9CSeUftyG9ozeFzkkcSeXwLShD
wBvH8HvFoLd85oP0E/zp8oXKIOdslfktBQjpLikqee1FvrUjZgWaKVFt8bUqK+fUerm9nV2ijRva
Z4KD5QX901BP80Ma9PVjnDrujQlPZjsYLvSawgBXYiSo7E1WZQer8kfNR8cdLJ+ACtZ2sngnLvmg
FZFeuIszBJV1KBfoOyZJd+VGRgLrncR7LUO09KmmiDcFZoLntOuMCqtVkzGwHqo3DOu2t/wm6aPk
/XPb5ar7Dv2TlseAw+S+41Kra9bvKN3Ftr4PvIa3V3ovlJ/v/T6CPYV+uaroNYKO2V3cEEsLSg4U
7qAXsJAp/1lsR+A5KFgJePEyR9jhoWXyn5KrlZAlFojiuhPuGksh8ckxXUBgsPFuPLxMq7RunmUN
JxjItGNwQKjEm+AodfB7rBVa45McgA0xK2u7e46UAc9/nuxzIsvbsa74V7XRyzCx+tleN24NKzX3
SB8fc0OErxj7eVXOw3M3RYd6aHHdFBM+URWYl8Yumi1lYCYQTNDVWYxPtGipSZ+itD45KiY6VHRb
7JmnwCVdveZugX+HKkyhCcgd2ST2t7GUMSXISZ5b7MEnuYec3XtIoVV75Urd7aVc2nBDbaoPzA/+
noRv9QX5o7orVNPeh4NqX2izS85cec7FSHc7q9fyzF5uWILPapfz9G3M3v7eRnDU/Nkazx4VNJTC
+1nwDQ2WHT56eXVVOCFhaJd3HgT9Rkq5I0lmpFuSzoAG0tJv20/Kbq2RoqVgBm490BBPLolay1Xj
VP4Ta2kHZIeWb6yQE6x8DhxU2h9BplekfHOTkapqCYOVMr9pvTR5SkUfbK1I1ddNKIZNYC4TlyA2
XicYoRSf0KgTlfzt3dDcewD89+AJzDOyiOSvbiDLhA2Kniexau189rI+3oXazs5AxrZ5ZFNTysxy
Xehig3WlPwdZtmmbhG4OJ9lyAgrWla4+u1k/Fe3oP4FFKlh2Q9Lx+L6afCOt+QXq9xdqMKKV21If
SYJiYzTgalXVwiyf4vgUlmhCDHSOYRYbz81gxBCS0C6R3Yl2RUC4qQQh8BYtHTKcuurQSw7K9DnM
wpdBeIm0c2QHC/Ux1rmYd2bLqrgqGwXGyisBUq61olfdJWeMcdrAOrViqmLcUmE0lTuTDlMYR9KP
HjCselds+sqjnYhyi92+ehA9uFMwNcKCiZU3TKkRPAQUdgDFl8Yh2MoLzBGPZljVB52GHCI1pxUq
DwNXnwg5AU+fzGncpaqhxSJE1jQHKV74XvMOLxqohLrzymdn7rFDcWLJ8I6FBGpgfzofNGex6SW4
Ai7fL+BkoCxWT2paXpZYAJGQU5pFP12RYjEbiCnuE2YILG/oJV9wSMmXdorktU6mpdLekvcMPuVR
2I7zZHogADbCM6KEXbULb6nNGv9rTz/BEvHJiyMO4dbk3jZj5DSBaNd5IBdXSU+wYmNYrvUdX5bz
hMvYBEmcVJ+pLEgTtH6Tn0nkY3vWBOLpOfXd9IOEoXkMRmy1JpORhxiGarhJI6Nh3SnF60Sr4xlj
efYtkzM90EkYnruxdPHpOLhtmy7M3xKP7uoK7jru28FHhsgMDkx4TzWYKFJeDz5Jr4qAt2u9Ndis
DoNue2rSVCQuqRmgRqi6CS/G7KLtRvTcgaN6Nhu//SwLu3xmiBR8oZul/Grw7G+NhiufcDlTIkaS
Rocinr8EUxm9gMZbkFCg1b7a2hBvqMDua9ZMDQ2sMxaCxTPtNmzhoSpJCmVc61QZrsuSUibbHAP8
J9hb8O/oNuvCdN1Vg0c7X0/wyp4NzEtHZzSnGz0M/tcEP9PalA1swUnFJ4HMDGjIaKtdVergbUZk
4QEos/qroproNLPXZlM9A9JM2QBiicubaBf23iOLV/G9L7ryQjbH3DNsMPCQeZoUWcwmyEqN1xi5
ByM+Ngq0GxNvLXCNfR+myS0+DoxuvPbrrYPJ7MK4rOWUF6J3eXHGpqSw8+phagZYVemUkXuaPERI
126SG7sdsqM7TOq4cDdOMc6tD3iYDAZL2AT1OrEkfee2irPHxh9MStPTvLzhhaGqDbBgcaF3Qpd7
jskjpbJ2zSmaBH9CUQ/QOfbZQtrvVqKHOwTr4WKaQf3gYbD97tVddlMAOYRdEIhP3/XUTQA5+Tp0
Jd1vttU7nx6RhO9YLpfuk77svhZYT14SrRsJ1lVqsVHxYqGcBtelU6xwxIFb1d9EDEgfG6+GH6lK
D1aKGzTmvaFb9zmUef5RhPrZ8lFFi4YdCSW/JKhkFtJx6Hh1esHDP73lMD8k9bJ50bGfIrovkd7n
Q9Mi63l+3+Q7jgFc5K7q2WAYoprNUxLVbr6JYJoxbxiD+HYaW4/AEFNX3hFhoXZOGLVXxAm03KTo
Fbthrrl1KKDPs7WtWGwA/TGIrki73vS1CyGCW8K+NTuJYCdbWKSekOFbB94h3YS6eQHDUyWbHAjV
sc91eR/xQ6mdqxr3iUoVPW3NvJYfbI1oW4WNOr0n+H0RVzI6Yg6VzB02Ujg6px13c9LsyTMvyiBO
Qiq+/UK8EiQSxLDY8l+FgTNAPFxWNl8M+3A2UO0NYqCnUE7ftAYgyuR4GFccrXlO2CPxDRgmWBS9
AHrB+46yxhwHWktGT6IOhwDJsvUADk5YRSzr2oNwS1E85AGxd+BGRUCop9FexZ5m4OHwPx6ttu+7
VTW5VrGtwgWT3VmyJCkSxUhnjZW8B42bHaUbUyGfha1pATE1Y7rXgvodJyjw6tEFad8zupmu0tTI
FsSreJlrpg4MMTi85TrI04POUucjyVrzatJuwQF3nqz91OfF3kl7sc4SQC04kkuGeao4DmHHoEwy
TLsIHzmTGWTHatIEzfucVHSnVLahv5B+zcE4sJsAGfzp9JZ/5dEnc0pwW12G2QHzx9dulriYvpmm
ztgwq+WMP6U7elogbDDt23O2KaMNp+bqs1a9E638LAFWorxzxtx3b4d1+BjlOb2KNojYQ5JbUb9j
bh/tisZ98+j+uTcgWrwbNKFhwV/KH63yo/Oc5MmRUWYe5qH0EX/d+gXyAa7KsLRus6o07kPD/jsj
xmJ/+Nny4psuLigWbpsUv7vYJ/7gWIhSU0I0rdVypmd4yon5IgVOy6ytqF5jNmuee8tInsy+Zyn9
a8OE+6/sElhQmIIC5cJ484u/Z7YNKB/+qPaTCNuzLyp96HXDFMFkbI+7nJouzmQMxs2k/xhmlhTd
dfmu6lNr1fHLphXxCgUYd51VJln4ggFTgaV+N7CNZ95sWxfwsw6yTC4AQbOizgct3PI0uAnO6AZf
Kln01eChDTo4tbJ1N6SE6Mna0myWwSIlrGbv8zE1VjHuoI1YuE+d7lx2KN7j2HE48IbJutSxeE8K
yFKG7NsDNVmYvEoQVSsOY1ilRpAYf33p7D/bCJcGZx9ummOjDspfTGw5txKXz2W3joeSc4N5cd1x
Ksn1USBjYVkaJrwZDqQBZkQdwP2mm3Z+tmUXsHgMBnsTxKGPLTnqqc3qcrFNfLzYJgGHdTkadC50
nHezlA2wkyQH6mvk3xhzFiPpr7ee7zHQcpe+Yvw5i3PuD7dezFpS9b7296auEo44fj9na1C+0dVs
tPfW2ItNz+K8BvsanSzT7L4z8eqO2lzceghungXb124GgogFvo2/vsB/tu0tXSNCcV/SheD9ahIM
0fCERQnPwpPkHTo6oX9N/lz/zccsVLw/XQTfxfHII8Cr3frld6wYGLtNUPl7xp9TyvItaWSHILYZ
x0x8sznA845Mad+wgmIDYEXcUzzWjBuEcZB1re2fiT6l2GZ4WCqvyM8E6yHxpMGMjTo2H6s2bZ7/
+tJYv14b3tem5Xkm1kngH7w4fv7h6qyeESS49/rG5qUw24W3libiIHAOQmwcQ5799FyacQmoYEEi
5NSARn0WnSZ3goui4+nDS/zx+se/6//axh+n6vt//9fbRw5SJ25aHb+3fzRb0yMH7vDfe7T/H4O+
/M9/4B/mbPHbYk7lAMLCRsGO+P/YRuX/JvFlu1KAYXTtH//nH9hGzNmEeTx89YI/jGGSu7Ypuzb6
7/+y3d8s7MOU21vS89D5rP+kjYcRzU/Ph3I5Zvp8EvxGX7p81i/rUxlBAeYI5ByCCIf/CpEjsrad
FThk9MqOracq5+yi4iCKAOE6Ch5oOLXMtNtkoTe1sm9WRHilZtDSWnidTGJ5Tu51pHWMLoj3wL6M
g/J1v7Uty/0+seWGr1PI+OR6Gb2vdJawT/f7+CiKcJuQ6Lu4lJ/f+Y0l2PZPAkOQUcDCoBGkCYPx
hgzxg3KrZs0VnPZmZWm6QO32JmnYHrFlT1wcMTgVT2yE17IiZDnrYcbYsHQytHi1Zq3KnZzSGaWx
W6x60PfL2r+hA9G6xaEV7t05Yq4Sx1eTDaOfrgOxnjml7UrP+QAI4mETb96LPIWGW4FjIC01r6jp
mo5JVbZ3s+8Pp5QI4YdfEwrPJgt52mrf5GioA5Z8MAYdKZzB5zNVLL4HvbRu23r8mLvO25lk3+lQ
NW4FmlqZzN98dr4GjJE2D76MtXPV1tm1K5MNmKgT58ylCaGAYlsb726phl0wOh9sfveNS0QsFRPI
MZYt4pCPob/YYGOGL166KFYhsgwniC8ZiUwaLuWLSMzrRJM+UrC4OErRjTPWW/B5aoMjBiTCwI6P
8eUpp9gGjpi7HyngXXVZe0l1xSRkJhe0dUO6MRB6vk2DkW1yLcw7KCf2eeqWDSvbxte8AcuzKkUf
vtsBQkaUjPwNUKBBrgzuu9adgTGHItUcysuVM4rpUzOkXhF0dGpUlRH0XpUP1zpKz6ZVxZ/g/FCy
J8DAVsi0L28gD3AsbD+qtGMgo4x7q/ZPaUfRoRVacPpmQztnBJsAxJm6pKX0N4OY71VU3qXSZKo4
SBAU8XD0erqz4xof3MpMA/vi9wwwYm96JxY77pSRvUIQ6W+aBQVvZzPbbs4391J23lZWdcIyrxgY
CM5FSTVsi9Gh/sMtpqs2lWfLcL37Fry8dS0lrbprLBxWjZPJiB00jzQHa5lnHdG5bAiNLQckUSN9
8GU3GVIYsXXR+SiE9Mtl1AIEucmROxF8YQ4z9/QNcNBJnLzpN31Mc+wmE7NprrueDMaqMkcO3gSe
J+pg54gZiKTaT26CLBi6bZhYBHPJJ0XjiqNkH14bbpy3hw4iTguhirw5NkE3rr4YaaLp8zHo2YWA
nyug9dJcgo69KvpbL+IQcSCIrCea8qJs2DGFwxHLEEZDjLRrrzymXmaUn1UKYI3PTSgDNuGB+uuQ
2iY6CVCogTIF1CltSSpCRgfc5dGi54gJAppXD2Lb2mYc7YLcUM1HafcR7DWL5BZdhUglJNp875Xx
wfSlGHhi/DYJLhSOqgliO+3mK0FQvDwgoDCZs3tEJ7ptR8J4Ho2G9EOktBtWkv2ppgsKnSl8YiTH
E9IqHgWC2bhWcCU29JF/H6B8u5s4GuiXSJPYSi+iTPJkN3duobY5oIHwNkoLfn13qqL9YvtttyQL
2BabQs3OZmK0jKzdRdI6CnpmsveaiVe88yXVkqTHCY1RjWnNb4UvY2TSLrr3ixnLVCb4wK7C7myR
T/1SVGSnj1Mwam9V90yBoDIJw7ZfQbJFN4Xvtm9DUbLJzqKxvunKpoPPpObkmI9iflML3xmyyIqB
7WPSyseoHV9UkWDWKurpK9jMejenUXbnJBavPQLwu7Ao2gdkvXLX9436GtqM26DhuvOrZc4fg+jg
pppd8RwYehERkV8JAaKZtVeCvxeXJadYuF6Qp/qcGvSeZgTfCLii/QTEUoT4OlekNuvzpEG6G8C4
u304VK3NfI7Q29YuKKi64q393DOJlztBWvQhoWjZucc0TFqPDi+1ITkvrpD8wblNujVHqC0xBuvM
reEamVkaPWTSAoYkKKNaDTFb443Sbvyomf30r2E5txp5C9D6IiFjWq1hHVionId0GL+N2FPAbXEv
WysVCn9tQzelH7dZeLdNf0HZiM+uUQBvIPB5o5zubkqx5geRSO4U9du7JpuLJ2M25bXhZ+PXZvSq
u8owfVw6TGwfG8KMd1Og8+zS+2X5rXA874AJcjgGfS4pNutU/iaC2LozGgwT0m7989guzKXWStQ3
Cng75qkpNmdmPzF8UKcLUgChjvpU9MBc00s/fAZRPzBiBQyCFmbUct1IY9ILXyOKtpJjYvaJY5TC
VjA+5m3as10uS0t8oY042TP4BCDnswXNri3ykLwVpmi7GL8eS+YPIa2tQ/Hdlqr87KUxvDAv7CrY
phSxCg9pB/RHi3cgHuf6bJSxcxNmjZHfZGnlPhqJU+fXRTWq9JBapYtrHgxXsqWhQb3g6GXemDT+
uE+qoLRPgN5J3hq6v0OVVo9mWWTXRdzG1hWsWPkEOdl7nTtWkHj6ITvlU/giesO8s2mBLVbZlI03
5QRtWYHcOwSD72yt0LOuiES3x57MBhQR/GcbIPgL7jclNb1TGtF9PRuTa6/gXTdPI0nLW040+EnH
sKm7lUAVojLTiMuOTo58odPB1SMlbzIf6Mx5yrYkjMtT044dXjfHabw7nfTZS97QwrYrMejSAdr3
gQPjyJfJiQZUZz7SpdAGhL/RXw4Y3ln/GBkxm+4925jOnggi+w7URgMDrEzanqEgXUpMexZcZBXx
1SE/Z2FK1igFmxsrK0X60r4XXscFEsoajF5/Z9kcZ09uNXvm9ZAkc741Ia0optHlPR6upWUkMabu
Pqhjr3rG2oMmTlNwkuGCIaFobouUR96P8PgMluhvUmmRhGtr/zEYc3GXsHOBu0BgBStAHR8Md3YO
vqdGZKXYPrCe5WfqI/KDko2CfhQhCoGdBeFB88p1E7gMnYrGMa5ivBa0+2CtYh7e9Pp9VLgnVpzc
2T5Qo9tMRFtjHWAIpkpDU06ybQURCsaweJmtrr4C6RI+JZRwM0ImaQ0QRoSP+LqjEJcLq8NslOOR
RG5dXWv6mlJ0PDfxDwhjip+1aj0am+heby/QQc2zaqRzkxmR8+QOLZk75ksUDpULs3yVt0Iw3k+I
exgqcJ4mWjf4men8CLf+1HUPIzWZVKxw/jxF9hx+sMzxsgz04I2rfoic8JDFJsM3zh9vlUWz8eSa
2WV2y0stLSrsweMBccFkpovZuy51pTZF513VM+6SwsYLITB0w8AICMl78xsLRvIQSjv7qNB893Va
W5jDHCM9Wi1NvSuOMvUHHCm2YAyEmZXhocDBxAJVjZEkFB/rhJa5xnF3tSMpwIgdFoL9MLJtp6mq
9fdNOdj+ahjH+ZwynljX7VS+V82Ek8/AV9xa1HysS9P2oLQ4mR9srCxP/lYV+5sTzy+KACOPwizL
djy6DC0oOvAafYJhkzz+4Qx4+V3i+2MQ7OdD/O8HK7K4HOFtIaXt/aK99XNelEFgDEc56qFYMU1K
oAnVrvwbpepngXH5nOX3tRCqTE6E/OfPYoHlG3ZLKKk7zlSuvCXLCi8WOO8qnBQendFI4+8ZkBJQ
EJiF1d98ur1crX/qm79/vETdpMsV7Vv8+jXjIUyNSkP9dHVc7UCGtg+2ysWObg4qT4cmu1P1j+pC
d/qaTuW4CdlNUOjzSGP5o/tjm4F4nC0bj0Kw75/HyyjL8iicGkSFaYbM/ZO5pUvHIEF6bmgfgt3J
gA4tG4sL2affVY5/G+D78xfiJGwiunBhlY314efrOTtuhAWkq45z3DR0oED4watQxrQKdQARWePD
TDl/k1r+84c6pjDJLSt2pgJQ8s8fqgPQo33qN3xoOF+jJbOXbr8SIjnB9Knf/vrO/FkXXH4yPgwt
jC/I30RU9+cPC33Hpnoub4/DHBtbT9sf6K+73Bzbv/lWf34EHG5LzyNDjsgBi+PnD7KZLFfMRYpj
3OV2e6bCNmDhhNbS/Z3K9y+uHzonp8hF6DSpgvj5k0ATuomHuxzUliWuoo4tRdCNUQjbxXfIYtmO
3ezxSXDOq6KhOaekQNyLsjy4gWz5iOmx+6sA+G9a3QXzYfyxP9Q/9op/ffH/dE3IpnNrESO2uCze
ktX/oyjLmDukpljFxzSKTHmsVNde8JpzWPqPP8fhsfcobkYHoQz658+hv76pw7CLjgVdot1GS+IZ
cASz7PdI+f+Jgn8jCtKY4vCq/feqIKV/b+/RW/avil3+8Yd/Vwil/5sJm8GRRIYXisM/FULp/bao
90zrEA+t37XD/y12cX6zPQ+ogxRS2bZNKff/KoR0vtCshDvLAZiPvP6f9XWzledO+ecbXromfS6+
ZXouGiHwEncBG/xhjGAzHK+wKCnaOZDIYTlNdEL7nMgqQPTvbuvobWJGxJdqT+2hF+U4G4N2I4eE
jmNR2x+mnotDipa9QaY7dzm2Mjdvk9dMp3JXzoKQA3Pm+r1uCQv5Td2sGa6EtwZRx3u1uCTKrvhx
1Gr1B5muaT9GjbzHlhwP28is3PeAlArmbFdEOw7wu8nvbuLEza6Y75D2HkRLB2B4pNvIXZpdAOVV
/pncY32o/LB7EWHtf6QA0ZxVFIHg00bQ7ZzC4kiRJdn4EcZu8Ep+pDvN2L02Hl7V/dyU0YHFGBUM
f/MeOj4oNzu78adYnR00lO1kJ+WhjJjO1hMFXEONLzPumvkyYB/b+gmnA8bIYtoHWUHocg7i6qnH
5vU9ZtZ105qGc6pV9zg3pv+FdjF1cWSN0cf2EEptUQZUB8dlUxEqw0+5JaE2zbQiJ/1eTdO4bks7
fWEiZWJiG9tTkdrvzHz7myCN42ssDc0ulopsKKPJozM1khwxsU7qBGT8LUKn/IK9RF3VMR2CoWqC
byR+SYCMjWd8wr9qb/JJ9S8lu/IbfnC+p4c6F1AIE3qmewsnocEgrTx4iWWWbbGEfY4uFSJCgOkH
3N/npzpdtqWZ8z7kFDYA6qHHlO1igNNEuFwoo3hwczuhJiPA7UD29YUsLKuxyGrOBfjr6T62bpwo
ag6cEOrN4Ph8dYhVbLRaD1y71+OvxiPG/Dl4VnoeAI5Y+SMb5BZnHLasdo6cr5Bv00NnK7ryXJmf
42wpK9cKtqro4VtrG5O9DJrtkEqM44PQ29yLvttckoB9c+XdWvR2HJEqaf4IzGvomfn1UM7+h1e5
4dOIf6XDqJY/M+PPTioKxONQ4EtajYQLr0FzQ9OpTPuuqR1KawwfcqAoXc1WTXcVBLjmTK7WWFtd
WO06Rlm3M90hJPNgykZjRihF2Ny1MY6Gp4zscL0Z2frtjJxr5if0zhm6AIqGp/nKUKq67/JKXs1x
pegVIkfgjMlH7cIKtRraAwjFP6fVSANd7vUrAMtXeBJoBfJwceP0KJ4sRZMe9Xszbj2Qpltwr0DR
6igJb9vSDC/ObLkb+uUZ2E/WTPy7GLD5NM7SphqQm+wmRlWSU+G7mlMaeMm11wfD0+5OI4yT4lx8
KeV7Y40nRfPO2jCHDdY1Y6lCv8l7pzqoGuXBN8VjRAACjqt9rIpF77Qjaln/8K7+F7t351dcC289
22Qww0QEZiRjuJ/feoEETVc2vA5w+NN10lMIaxJZKgpMqqqorsmG2esB0y8Vny/ZmDkReXCtb93Z
Aokewve6auceRSWPOhBlBZ0ovUMtBMf09Bq9ongp60zv6LOIna1wIqoDW4yjAdbfOb2HaMjznP54
tuFFOdhYeS7EsVneCwPGzIkRBKXR28410te//urS/XmPsoyB6Oxb9lOwf9gomr+88SejdQk3h4RR
vfDBzwCT5anzYKjxFX0hWcHM6zBshvU17lYZQhl2EHb7seJu0BV5RyP0tLX15qiEI09Qcp/YSzIh
yfrvMEgX88Y4HWU9HNyRelZnrse13elX1bQ0TWt6rIvmZGe2gg0Wv9f1WK65t/ILbAl9ZF9L6fqU
oeRajK3tOs9dhKW+hjuXOsei144gaG62W64jsKwB02AvaH70/DG/dHLwXzm0F69Tb9IdIbLim42C
fwtUvr7NQh3tosHK92U7yBcEpOAIhj+4THnc3/OftCDPXUzAx4lOY0+y2fdbtZ1zQoADmK19KQaH
OoNhOkJWp398oLh2FwK7e5g4YParYQ5pF2+iYQ3LJdql0Dv2nObFLmWR3WYOEwrWoC7eAk7Uzy2V
a5vQ8avnxEl8UueF+ykwnW6WKqCrDjfTaoQUdlWRqhRAI23v2Wg9+wx/0HhwmsE+UPcTsrYos/xe
J+X4TDJVPHuyLKj+qfVFpV5/MufcOjiWG10HtakJhrjHHMpe20dLlahu1zX86BZXuUXEdyDAPg45
hTYguGnnoYOcdBJ54mwiU5hAPHvobEQc08bpFZWW/c2tnOCxDFzwbkH2FLXJwDl/9gZCuc2cv5IP
Hm5mx26vZ91GYEGb8apAvrrOVerslMjia6Z8jJ001uudhm8REJuhotTUfXUNlyI4N8ZQ3Qk5yJo6
qnAiDyfwLrhOAbWRWQauh/TSDVF5I0Y4zBG4h1UeOtVpZFp7Rz6XVvM6YLsijyi/a8Te82QjBQMN
qAfKrYyQpH0jsLUqiabEMrEmoXyhukhtybS7u2B5jzmhFd3RxGR8quUNh5fHYtaFmDFQVeP2BOgL
8Iv7+ceLsfvxkuRN4W665c2pl3eo0hHvmSy2Z14EEYExe3nfwi4tnsblHaxtdzwVBMMxq9n19AJg
Ue3sYeKNTsvYfU96+mo2re7Vg9m8KVG8gVRre5f/WBiSZY2Qy2phZRbkuHRZQ2rOTcYBJB6oHGi2
LEGmXy0Aa8C4AD+sWj5OZumdYaa4wWZc1rVYR0RXVGml3r4xFfbivqp2zbJOdjqZN8mPFbSoQvVt
qGDUkRHqWod1Kq6uqArDDFS1RLVKIkH7ICL2u9E/lnTGq/ywk4Hmjjrd72Ap0+8wN/xE8seuYVo2
ENS6fs7LlkL92FykYkjWRSc9ki3sO0y2j4Ef1VRnRJhFg0wpgtDdeJVnYOGhGY/HAAcHeIM831ds
fTa9ypNj0nX0c3cqojO+9911MZY4WimdIZ2AffTotCXDZYaaX6BqurcMe9U9CYIgB28a0bUSaf97
PVf2ZcwGj1o+ArhxM8VPBC3bB5y4Y7MJsTce2zDC7hZouipy043PwvIHyqvjyLkVhgM1wSAPwZ6O
aOyAprRI+LZ3yRkV4T6v8tu2I/y6qgapv426fzFFVS0x/oliQsf0dnmgrL0CDPEoQ754wqnhqA1o
rYxXRc/wV6EA4+dytk7qGhdvLp2jFKP7kCfAQlEvvXUsWbqsHCAYnQSL/d3U2ZHmmqTdAHIEjx71
Cm6CVeEH88ekuYEDSzC3H3wiXrH5bfTn7t0pCyCQLRQHPLg8aLthQDReCRHKpVOeyzjJGFo2GLJo
je4Tn6SosNpoZZz8uh8OeTJSUC8NiJMoihzYaxHexaFhfrVGdZnRjx6JJ4AaKo2FXhzENNtZzchF
U8TcJjt9TRxBCZNpeg6Wyrz9FhJWfK066rFM6WLRKtOATG7wzUQI3vIv8oiZF+LKrnxufkO22YJ2
ie8MjDikngmBM2hkF7giYOxeYr4G+AjKDwWZqZL4NUP676ZtkAMgVM6gig2AsalM8FUKsvB2USxe
yiZ1T/3UdDeeEw9cB9nBmUwT/jC9wtKOUr5AATZcsWHfas4AKLfihLfwE8rLN/qOGYmNOQg1PyiL
o9Se4mkfllh2Uof3hD2nPW8eNtZBaj4nY0xKpcyfLbeyX9zagsjSZdUXjHjJF5zC+nvK877xUc8P
fTu/Fr757IgMzEKCS/EI2/LGFsM5wZvEph+PeDeOgipF1goeK0oQtjTS+A5071KYV7pyq6OCFbM2
g9Q7+U7mHOYWIrylvelrbHCfmqArrsbB6JBfRPBua7wDIan/YU2aiW39XAAQGMZuXo+R+9F1UbD3
3drYCWuyr4lUxFf008Cv6AqjhPPU248A96k1iMux/d4Tkk7WDm1814DqeduAb0keQD4J+H4okKuE
BtydTNwK4K7jsTWumA4bAVjQDRQJwd/ax29Z3NMjLSsNCL8AH6UavnufLZlYBUvBIqSi+KLTKk4g
trgcR86paKJDoeW8Hfys2VcBzcJ24Dgr1OzpOFLiuo89Pp/Ap3zJ2QnGdHxM/k3uF9POq5xy51id
fI3q2KI7KIZwpAxi23k28dTqycQ0CSqedHtJF1zWfPWJHM3S/CzauN3+D3tn1hs3km3rv1I4D/eN
BhkcgsQZgJvJnFOzbEt6ISRb4jzP/PX3o+2qltIu+TbQLw2cp2q3LTEzyYzYsfda3+o0T3tsOkVe
OCVZ9bK4rWMJk0QETX0tfPTEmz7EPxnpJOPpgf0pbTKK6pa9HUGZhkq36jfQscgxDvRho7ZW5IZD
on5q/AHrt4co0C2rrmJJ6iD+GoJppPRSsWQr4flOmPjf0p6Ybi2mBQVAXWgvNKiPcIsKZCa850sM
dOIM+4K3gNhtnUFMEVdtHxKDbGCzzTaOdJQbk636Utey/sWIn7x6QnlXDNZC+FNgXTB/MrZz1PUi
ULKz1MZCo5aWW5EZIgHwRRsrbEtWEegF5lArbmp+Ha00idYIewl1V0bySXtHam7Recemj6ZzCsJD
I5AmqO2dHT/k0/UY+DBdGo2wdhG9kNh2HsdpxjyvUK+k6ZX3PF9sXoiJL/pJ+ockyIo75LqEYYE0
VMylwj67gcPW3k9mjYA8dfR7T43Nz1ZkgWNXa2MHbDzasxMERysh6xmW+yywTbAQKDVFReTvmooo
Acb6kil4Cx0+KqzrEQT9gxkU00Kx/RQEq4F4KcJFJzNUE1vQO+iOikYOdy1L3rLIck2fxycgWw0T
wGs4YqbXoomZlTPciNYrNjjRps2IFXJNlz3aGrOzD8XC5BL1N666UBu21JDELqAlIle90lXv0kyy
YmeU7bD2gcmtYijJH6uQyq8TaNsrpy23CNqdrZ+QaYjACHdd6DHQ5jWAs/DTadUVTXRXdiN0pGbw
oSKE6bXPRBDXNGCoNcYHMgsZ2kO/iT8myljsGQ+1m9grKMjiADqvxPLjIpi/xSJTr6a2yPcRawa2
nDEpsIDkEkZvovSoxeqYbyD5aSzYCL+6WR8TLXgpOT7blJ/omhT3rofTBT8NBDWg6F8KP9O3QcwK
4SGYceuGuSfKCzhlAlcTuSSk39pxBNsrZzVD4NGDYjbdsY29g9A87yzTMgS2wZNJYyaKZ086PxF4
hyr1iCyIB30FXveuSW0o0ijuVok5jXs6fJlL+XDNuXwpHBw/sUALDXTKS8+CGB522nfSpU8wraC1
4MQUoeRsbsfJATk8XPrM03Z9lWtIxzocHqLOXgIPg4LV02G29VFZloqnEeruMVfOEBl/FUke38Nj
qkhejYV3bSidc5ZRaF9yVsGwGDJJUkeLzpJp1fqnSDG6ZUMKwX1q6SlpTkl+YPZPbq0ssFf0qr1V
9TDZGB0Bepme1dsak1NBYitQTmJaABRO60lG2oZvmP6x4bh22SgEWZBtVK3ClN5H4GCcUH0dPkV8
yIW5H+rtaPN5tplzz9x8SZ6EfY1p39lEvQSLoSbGroyT5AhEh5krX8Gd10eXPhSn9nfjrV8dhVHt
2xjTUBCrzkm7vidMx/MM3d4oqKRXphFZXyq/Q/RWmhn8Kqfi/Ksng88sNcN4WMVOD4QFZsIVgXfj
kyWnololhhmsRoR3KJ/mfiU9HTSQraO2kECCyVCwn84dTtXChkc6MA3CkfzFfWjmBkApTojKd234
v7pr/29EUmbw46Dh//t+/P4xTds//s9jWvznH4fHOkjD6rVm98fP/2jJWx+gB+sG9Y2GZYOu959E
Zal/AL8KDoMZHf+xZtzlny1584OmI7gHe8sk9Lue94doVxcfEIoIeCfMaeHH0kP/n/96M5Ekqv7N
n99Mlq23EzyoKwZeRJVp79umVCZaX2tpIm9SqAgg8ujAEaxHmBo9g+68ID4kh0uEBmOhKX2AOKs2
4pWqlOVhBNm4Q0FSrjFjmudWNgQullBJMlI7bIkTSFdK49GfKhRfy9ctKRUuhSIgLU+vF2XejLtU
UA0mNXk1w1ztSA6pq7pUg22eVuWFRjboZzJMGAbIPNikc73Ut0l8cHzH2WUT0hJ9rqvSLKj2tFOM
BVOH8BFhsHWQ6IZC1/tWltVzhWbPtVo8V23d2CWL/Fsp189VXf6twCMK3j5OJP6R6DBXgP63YpCu
pLht5gqxGUu8TyU0eLxNtjgWYlDWnp17m5HyEm8KcmAbnggKJVy5+ey/W3oCb3I+V6eJGQNKmivW
MuoKd6iz6V6JERvRP9C32lzjxjIYb9uYQfKhJnxVXzrfq+I2VVMgYakJXcCAKCCSFghT7x3MSBZP
hBR3tD0KxSXxUiOfdK7B52o8j7L4M32O4rMfOi0qHqp2yZFALlUzyPak1I2biY5EA8A2rL60SLf2
eqtZYkMZHKvoampz1yuEDy0Ik1JuFSUlQmYyJMOSqU2cFxqyCN2Gic0sTJTqQKpT8agUYWyyQnfO
UkmbZhWqierCo+C3hEWAXqvVq2ZV053Fz6kL8JGW5k4kK7jB/C+Zxo4xtLVWXNOGTl/Knrvgikov
PjGOZRsjjKTwP9IcxPKW4pukE4WNlb6ImqYEEMa2fzHbhnZOWgaXpqC01Ipqtk0XyET42CogYGUb
jJcesm+WQbIRDX6luKx4iY/QWFuajAqZeNlYQqqSSjNQT/XwaSZJdjmnfBA9wFrWBEh4L2Nh8Zrq
lBR3aufAoa3OoxKsPGRo19KqvUfWY5DkpgeV2wQUQ18vNIFmOKNDIV5q2dELm9pVaYpdgUNLaE84
xGmuYX1FS0FO6XVoJMDPyP9cDh5xu9DoMOOZucbJOamqhq2qnzhVOHbSttsIB+RXekfj48T59aPO
ZU03VzT9RaUvwFfaN5EaIyOpe2ibNuY4PaxhV8CmaDr64ZmtuwkVC1rURIAHIMzFYDSSonYUClkd
l5AAi9BlY/az1RgNmBxLBuPY8SkbbyBuxSSRF0rKWR1gFMmjWmmzXw+t+kwIQb4jsAYXYZNOZEeU
foa+RyENfq+hTqppIjmgTIbhi1DpF8INNL8YeH63qKqa68E36Y+3fuxOWmlc8qHQVdHsYvg0KJH/
yG4a7lKCjnbF6DX0tVrgJ4mFXFFCqmAmVae81wmL61z+cJ8GL2kOlLHsrND8wm4xWk5brHp6sbOJ
mha1KMi56QrnuRJ0ptyhUZpP1NLBE8bi/sn3om5tld54DpWtvyTzhzSa0UwvERubzUyVwfiAzdR4
UKpR5xQv9TRbpJOaHxGdqm5PHOsDvyTdRoEKNAJx9LI3HMg1M0stK6zjBJhkabeVuQo7Ozk2o24+
2IYvIzZ2+ihgIpiNNURWrApyYSAKFHGH4VkjULGjCNyltp7vMTQWiWtTMYSkbgjvGEVy2JI6ZZPq
TZ90NRS2dyRPPWFEpagk8paVrIsVn476yLzJ+WjpLbq8unau8WxckQRMlUrQy6Iz7GwN/2dECGe2
xa1lds4hLaDZ+YYRfslFYOxbClJO9a2Kno2ufBfp4crEAk3rPY+3IlRMNzGDfmWWZOLwVa9WMDX0
RTbG0i0bQyFMeTDuE79G0BgGRrUxGcmhyU/Cc1jf01mKJIWYNwTAAWgUV82r+tpknb8kvs5zMyQR
w7Ij/Wxj9YFxCcgnvtVqJXjWJGU1TneYkK0tHNI2hmirOvjR2gwea2b4yp6+jbk1epHlHAWZxbpF
n0Znvpn2RPLo/fRE5nO9jeI0vE6pXXfYmq/A7TvQoiO+swvw1eKefds5IOTkvG6ao3U1qQwJkWwj
5i4dNd3bTT1mF0y2B9orefASRbF/zbnLuxXFgKWAcZXz5PfofZW6Ms41X1SPfZpanzl+VO6gTvbS
gWq6NYxmkvDMNGWdWcxiFiFolqt00CUwucnC9zr1x65SDAwggaR5HGneHvEYSTGq3+8c2HxrYJj6
rlE6knxMrWnWUomSaxO6Cyxcj8EyYaDVM+2vEOiR7KZHBWwJE894UgU2hpyoSjTIxyAEaeqPhLUQ
pmMcJzvt7kXtR2umPC229hRqjJOS/uiHdgDMzEMvjIUnY3irF+ekTSPKmpxSPOvgGM4ZeAyruB5p
9Ks25Myytesv3mQj650yse76UtlP9tQ+p/Qs1zlhmzcVhDyoLoaJiJKm5R5jb/woQmaenKWEf+HH
gUq3PanCdWmiq/QrS4fEjBFzAT6kPche02BNMSd0FLXdFHoUbsj8Y6VT+JldqPmM2kpvuIzgL2zg
bEb72rJLPs2m/Oj1JISCyRCkt43eluya+ro3K8antidv68iZkYE9nawUuixog/BgK9Y5A/1sV3cK
LKypZpgtI0seHfbVp2+16b+6QD8Lv1R5nb80/zX/5i85IIIQg/3/vP0jxeWPC7uPzeObP6zmXtF4
BfBnvH4mxo0f/V6Hzv/y//cv/3j+9lt+p5hBwEK1/PcV+vExroPHr/3zc/GmMv/+cz8q89n+Nn8V
pTX74hhS/lWZC2Q0GlU5dlcSR+x5qvmjMte0D0DwyW5ApogoClPlX2IZ+wNJGBjqdCp2KfCYO/9M
ZX4yNSbkhLRMUk5UzbKAVGjzieS1VgbUiwcKJmOM34NETNGc9ewHflo9YIZmk5Gqy9ACNShYIM8m
TMeU6idkAeoxr7s7vY/u26I6t6ppFrl07bYpm0t4BnQHLC108xYwTVkAT6zM5K6xWaqgTt71EBgc
UJdoUal6WqtAVABeoo8uXt2NX8zE3wqBvr05W2ceruowsTjLnLw5yHBBM41YXAZi5BHxrWPvJauK
S9X6nXX59ErG7H+1ADviS+QA5mC/fP0x+kqlyY7Brgu5D0AQOvJMgXULVbHw3ffflD4P8l/Lmxib
s8rSOrJ0k/+IEwMk+2ufErkGQdrqvkgPz4NMs88gH5k5Qob1OrLYE6uLXRqPhSu7tl6qFqwJ5t8B
NIm+2dKN2hihvOdf3WZZeqaYYnIBm9z5Sn/ILfkoAtcwCwvpUP5UkQq6LHQOZ0NWHkfDZ61DyASy
RaUCaOudzlBpCYNjWEG96d3AGx+tbrovy/BBLyWVUqya37sBf3ug1OY7d/IZoBVUTWFZJkBhcTLw
90wogaMO4Se37U1AW05LB1T0QQPjhU58flekFptIh9KCbnbowRvp0q/I2p/fvxnfLvT2hchZzYw6
HEesbWNufXPj4eWRN+jTLQFtxiG2LCmQFHln+zVbqJZ8SVrYvhEVRpIcqna6zc3xqvMiuaGSTRap
I670trqZxx+DWW6owB6nyH9IR209Jeb1b17srKx+/WKlZbFvkupjkX9BhMrJU5pFwI7iZghWqgq/
xqTDJtX+1ujUm1Kxzjip3YI73BE6v53g5oel+gnnErY6A6EZx+9qQpmASFrSGFtOSLUDC3lQURmL
91/nT3eX14lVQtCv5auEzvBEymL6pbTCUCrYAJObgqCDNXVJz3R7ICi3PYDwQIoWYfM3rIbM42p6
6MrpBirxqiV18P0XM38mJ5/Z69dySqRgaKklhCB7rodCfQCkGjvaQqVpSgtuA6n+N5f7tiadXs/C
Tk9cCI0ZokPePlCSaHR7Qhvl6g2zK3RU9NeaysX7w1Nh3MAXEmsbvBZ5qUqwLFMZXpIbvDPU4EGO
9JEjAhdWfp8CGHKyO68lgg8fcBrVt0DX4gPKI5gWnjOgAgivnFRt3YaAK0WfjtSLxjaCXbYoMENB
hxWLkdMJKLb2QM4QZWJmYpY1ymNSwsH2KHMWBSlRWyJLxhXOxommNRZeUfn6qtGny/dvxNsllvYR
DwVgEAsdMk5ylJBvPxiSopM6b7gRNDpWk+Gvo+KcGCV052fvX+hbNNLbW0CvjJYYNSQX0s2TbcOc
0IBmHt9pPZKgzeJnok+YL4BGW5J11NIBCT5HQ39jlGDm2vGakNp7DyIyxbf3UMGlz8z6KwaoRabO
0BpaPE0FnjvZvP86Z0//yaP59nWeNNdULFW+KMqYGZ11HLV+zTwtWqpReuexQWNrhYPMaCtkFBWA
6Ruys2ogxtkuyjsfswdSjwnTtlErqwGb9pZitDsDcwNYXfTxlnaxt/FLyyBVo4o/tb2RL4uyOSfU
oFsYRQubp8ETpNCF4lHjwpba0WjBFIawcraU9cBsgOUQOyKalnNP/nlookcvmNWzxP8+jGb7CaiX
5QL46F5S2gQcnH1YYG3pHzIrn9Z4Nj+9/5n9/BBR7TCfo7SisckO8vYhihuHckPPHNc3PUSAMYtg
twx1iCyFWL9/qW+gjpPHaK454N8JxNAQTd5ea4jUsq313HE7Men7tp0+o2TUD0U1+p/QbGFmLTHz
ZuNZ7b/4kiFEDkAI7xkbbN/k4AlGzeKmmNUl0ZS/eXFv+7HzlwkLjMm3FojDHN118ognUaelJqJF
N0rBWftraSqHqfz4m0/gtFKZpd7AGgQSWE1qQp58ApWI/bazEiAJaIDsYW4OEKLnEmK6mcIgd1EX
XPd+UTwmpfkx6scrE9ItrTLmhQYUy3Kak8uqMFvJerikCRQcE6VhZuFJ4zcFxa9eqWUTYDY/FvRx
TxaXhlNxQmqI59pWzqoS0seNcFQHKAR9WkSk08s1nLSDjfDm/Q9pnse8eUqQFQt6t3ge2JU5FL59
ShD0NFNOIo3LSO2T10uWGE55DizETFx3I97WtPzNJbVfXROwhrAM8slZ4E7ui5OOEKBiE81t6W2A
VaDSDothXxjYeEiHOOZp+yWIu49lYDxGofUoJhEsPeUJEIm/DJQ8P7eH7CWiE6rlchlGt+9/JMZP
dYotKKah9rIIA9z59vpfCfgHpdQYCjeKy7TMpRmx8Uxv7UV8XaY+wAgcT0jleYj6QTD+DvbtZD3U
0IPXjeXdV0ibAA0YBGp3L1EQrNMBMjcUBDDA4SVi9g2GGrYq0phBH32x2G9XsvXXHT2XHT7HzVQY
/T6KATekKKHIYy3XsVk/j6l6247GvVb7Lo2VdYeF1vARzndzpsn7n4Ccd/k3T8Vs5FJ1SZHLd8c5
rW+zEM2BTaC4W3fyVqTmFW2JLXlXCoreIUHM1FSr2gzO4JoRXAJgM8nNOVY3qVfwGa6bqr82qojN
AD7YMoyN5SAqNngJGSlV7yQCJTd16NNqenX066aZzakjXTJ/XfXECSGfPULp7V1aKNjrc4LQffum
0517TYRnGmyPOEGsFbEbRKDFexXx19ROX8HoFW4ryvOqDd2OF0oc3kWSDMchio5xQvMepcZj1zSu
ous+TO5+0zTWWa7Em5IzyGpwYgkADR6pkdG/H/RylSuqBluLyOgmHdxRi4d1QIwYjA3ga6rGSLr4
0lf+RZ7cSYAMYfP8m1vx050Ap8UhXXK0mwdsJytDa5GJIUudekyQmbU15bbLtyWqs/xH6fev7qD8
G4044ZDNB6K/b6Bctl9ZSZ6ranzdP/nxY9/7JzaTSLTdAIc47WH++0dW7Gw2YjjJmoltiC12/ps/
+yeMQw3BLo+9jnhDMTsGf0w2NfUDJwsgY2DS2JHItf5n+ien+4bFEmXThCE4FOU9it63q7dZOKPa
Fm25YhZy76E7q22aJdjYAITPcN34mwjFkcci07+8+qQuvy8Gr4eqp6XM6aVPqj8BBDSO1RrcDVAg
0obqGN3ktC1i76kvQeK8f7Wf8HLzLo6DiA4WzQJDfEvKfLUmR14XcdhCBtbBUaHx6TVLhxGhO9gi
Xo81AiNYKBvudLmCGG+vHNnJZVyoJmL29m7G3y6Myf+Esu1ybOQZMJql3ibmolG9z2XpEWRVNiH5
E9FBQ5Sxev/V03E7/RoLKj5EtnROTOyMxsnXWFQpxBvgl5CEiGWnOEKLnjcKdOHOGJkkTyCSClKr
p1gfLp02Cm8Mz7wQQ6lSvtnw+NvyLp4sOBK2CuuWfD7d2Ig8fvJlB346DQHRM5kdev6tSHvmKHNL
GVL2BnYipyl7LHd+KdRbBXotlvik2qIGdcfOBxJ+NeYqcePhqjODawNSsz/2TzWrZdwTNNam7uB1
zdIP4ytmrNdFMnL0+AoDk3HwsHgY4E9s5MiUs9FTeZZXDocwrYh3+PvbHQc+7F71rDC3eTMDKiKj
0vQNdgX/1orVq0xJsDg5XFkvu+Qo/GF8jNKGiFU8XzT1muogcJUtjDJTJdYbp3INrQ0hm0j6g0lf
QoiK/TV608HFuuTsDcbHR9uGPWo4UX3Zd55BT7rO9g0Zbw+6KiQN7DC/sJnioSkpcByRFPEwxJ6z
MvtAPBXm1D2jflX3nXboRdCf9+o0q03smlAsPc7XpiWmfQZLBAXKtETOrxHXJIuvYRh9Df3c2vVk
njLiLPs1fpErpS6qRT4GRCIk94wG9iWzJ0QxguwOgkHqsdpqNT9A0ikgwdSL3CStyzPc1quhzW9J
zcp+49kWLEBvNngbfbfBV5jer8Ruf9rEAwyklQXQ/FWbJMQZkjiUk5RQNkG8zGy/2FAu6rdhKIbj
FLTKQ+ARkbIg3QTXWljmR1vqH9EQLqfOyw5929rPQ2aPN3qsJpsaN9vSYkx/Heh5/BlBEtz3wVNf
vn2n/tXb1d82/N+0//+NNrU5lpyT+N9vajchLp83eL0fP/JjQ7M/OMLGOUu9/40nSfXdE5r+3/9h
25D3VHocGqclez4t/djOhM0Mgf8DWh3L17wN/rWdAd6jNBEqDW5D/b4J/jkQ+bGHvCfUOYFP0nXD
ks4+qzn03mh/mCfdJ08HzdYjIdwaXcD0q+rjpZ8TtILWZC+HXpLBNMGYngXVSLmHj2EfkwemZc6i
VJvA1RzUAikorS9RUGsu7Gh5nYHb3uVKgQdTDsFvtqW3J5mfX+/p/qvg7QztUds6hH5uQRCTSkIg
Hsdqz1UL7BWCUegZbS7vN80XKr833+CfL32y/xaWkRZVoY9b8gBCQHJNhAyXGELMYTlZvkruTk6i
wELGHQlY+mLoiDexSid1URGzjxRmtR2njIQPBQdyPgdSyCq4wHPNol3w6Vn6MCee+CC4cc+RooHT
scrUbY1wo0DcUyXhjPYy0UOUCgtckdjdHf6YEW1s2ZeXeZBiaYJ2TuGu+iS1SPJekyFcJYVI90R7
5Gdm64RnsFb6+6DtG1dTivwYaolYjelEZl7REE3yhahPdccitVEa0v8Ybneu32vqR6OHKyOB7WwS
PbEX3uCH60i2X6KKOOKFk4v2rghNdRNkCkgx4Lc4XUucYgE0tFxEHwH9XLRjf1VGRbUjZb1PlDuj
zpxDk0Tpfoycz/UklI3pFIcKTow7BpY4RpN/lqYpthKfw6pN4tDCbGc0MO7czpaP8KMmt+s5DAkn
2usds2LRjRcDAP11XcbNqqV3uwRv0+yLbqAL2nqAb5n5596kr4dK3VZ+fpvgXEL47sHzLtyOpq9Q
CF6ISjhNHqZjAhjXVEGwfvwUY/Ikuk0e2cZK9AX+i4EUZ07Y+Yo3FizqsGh2ZmWpD70PwA40GGYm
ZuAjUaXhFclE+p5vzYKQoIM3OhRJtujWRTDcDp3SXRHk1DC9IoGlsNo1J7KCKADllpCafoXP02Hi
wz0hriK4cFrarh25ukcnmMscyDa1bXk7O7PUDbEM3s5Ae7O0BRKiMmfmxsneXKJLmU9q+nSrDCVz
cn+lEB6yhEm3m/QKwU4QJhyqeJoHk6QT5nQ5ziMHJU4MQ7j3A7IE4FRt1C59MmR228QNAmviW0os
xk4Aykp13NoiRAL9UeGaPZE2sIS2lk7GYQx1Z5lJdDN4J2cWOUplMpewDZlbk7s5+/LJk/yUZTXo
I320F4GJ4oSIsAg3BPFQXhJR0ZRUcdKONmXSX+OWVw+Kz8Dd6ofexeGEnq1o5GHMi/gm0jXFxTe8
GXrjBlnB4JIDqhA2GNDXb6Nzi2hG3AVYpxvgpssmUjlyKmKj9MhDMMysDAsJhRjQWwEv8s14V6b2
dWgz+inH4bYZwoNZYE1rgvOu1Aps5pPby2411J+mpLyQpVYvpdpeo7e1PwpILWt6c6tMbR/jECu5
5VdnVSzcMc1uEZ6sxOCsyyD9wgh/1Ux0zsC9dctSgEDGYXvujFaw0VDohVF5FfbOninkxSD9fURk
5FlqlYrAFTHKtU+eOIBzQiCfGKWBEKGUuxnqERtcIq6VWqWbHzJOAbg8fOmoAMn7qSxSFQfdeQyS
kD/ztnYICNA0JPDSEEq2Om3eIlnjMmDcGLQ0b0s921YF9BQRCxoVzGKI9YjNK9sTHiZ6NDVzS3Sb
KH4wiwHJCjPUjylFzpLVrz+Mat/eVsTKrCfkOcQyK+qmD7R6y/wlJKg3k+pRk4O6I4qzui69tL3s
W0zWYY6JHj01/zDKg2U36QHK+ko9oqC6KMZxXwl9hK8a345Z1OxjCHI8gsandpyCVQUqEeCpT3yU
4NhBN7s6F3AMkIR4gUugDWL4inI+iinnGXaEO18OGHQUnOKERYcruuwei11tEtqi7KU3sd5FBkHG
NoxsUg5ddLYwxnvGAYqWv0g/26ooHDamRUNBIX10Wzvhva4QVmaE3hWGtgyJtaes0QURAd8FHQlM
kbZLiyg7n6rfzQQpKl7Vod92MU5F+HIRDnN8lScNcYieQN/iWtvmTn6Vh6mFm21mJAbm4VUN9Ivj
qva2qffzlU5KC+aOWQDVUt92fov4yXOetanuFomKzyGLrSdLAHkbgHosnHnlLXCzu++/BP1t0f39
JdAroOM5SzKcU+iOnWfI4+tJ27JaEffIRFfhEFqXCBIxn+KWVlxy7eKbBiralhii8hzK0YCJ0FEP
auSVB6dvOEjU+Z1FV/KK05lDHEs1N4mRTJ6bQJ5g/amhG3WJvyXrJNuKYahXqCNYBDN1X5XYD2Th
vyCkon3FgWiZVukVr0NZ+U3y+P77/dW9ff12T868AEXQWcamBrOg9q6RxeqQ01G8omealu9f6m0z
4scnK+FBQQPGfGDNf/+qO6D1GECaeNAAYcgXEslK0kyMB51miFuZxd37F/tJtMIdRKv1j6vNg7FX
V1NCyCCgAcUW4y0IBlP/rAMt2EW9/1ULK+RvVtxctgF4cbsRxKsqA33tuCCYnlSBMydCy8qddGu+
hhBqh3VUt82+9WbBFiBVNwy5hbHZqy7ub9MVI/ZzNQqyRRGT55kMGr+NiEGIhMpxmIuSci5PiNL+
zVfm7Xzv24dKxU98tkRZwNudH+dXbzNO8UUr7CNbqzT9JalSBAvpIqZ0s5TLsAPfu2hJdv/NrfzV
F/XNZU9qatEgZFZzhGTQfvlqVOZXGWNH7iuMQcRfKuT/DucemsHLZK5yZN/Ev/mi/vIlsCghv4Iu
Bv9rLvtfvfOEvK+6SENs/mFSAUsQHJDrM4RSpBw1prJICuvCtFXqTd16YNUv1+8/Yb94nJ3X1z/5
5rS9UyOC9okCTtoHvQ6H8ybzdCI7LR5sxf9NM2A+Kfyj2f/9Plu2anKPNbB7pwC3oA+VqsltdWvq
dXTUenTOYU2E3Pvv6RerAZ/nP65y8p5qXdU7wlEI7G4GbdHzBhd1ZmAkRiT0z19pfiuqsE1Oqz8t
BoXTZtNkEVvi9f2it7XPiUXWJTng71/nl4/J6wudrAOcPwCJAuhmNynkc9g3F5GQxsZpyTwPx1a/
if0G5xPY8OCinAtlUTTFb9QCvzgyI/7C2W7bKj1Gzu5vn1UvGPqSPD19i+WvIKml6m4LmFS7MBz0
baEPH/PCIRio8wkcxBxCFBuGf1kCb5ap8qjIMF6R5MKKSXVBtIOffrYqPbnUQvEpqqB4v/+Z6T8/
bAYyP3D8NCV4xebJY6BoXeylU8VLQ9aRjdi3tIAAV/TX6tJSprPBsYZV0arbtoal7feErXAIVdYE
4lK+mxleBKS/btVlO8pUbxXlGqNLzjS1oo30I8uXouj9nVrOmnjdOKCLK8lZwVlHStocJIoTuJiI
ywFsXy665JmBo7YgtD5FpdYZx7qur7+95f9tVP1GvirBJtJMevV8zBLZH9LX88eUBIlNTknxXQu7
+/rf//HXT/wlXcUUZvJIsxJb32lu3ztVmMosUzcEQ/0/u05/9qo084ONKpFuO3g4qVs628efoxfj
A7UmZLYfcDisaP9Er+rtGg3nhxdGs4zdwbSYTJwKpYRkvmImfb8CVJrTeMd060UNlhyNMCcFJsN3
buDfag7frp9/Xo8L4u+GhjhD797sSb5ODhgEWbRHUDYRIL10+Gh4cunBv7oHvyiVqUXf7AjfrsX2
NXvyqFWlqZ7sf63FvAtUGJxwTaUDl5pmMa8b2i4SojiLPb87aycCLxLRZK5fVs5XK8m7yzojgjd1
DGDwGPq1vTpyXudgi6kO2ZpffTaghbG52BaGOsvX9q0qalIPJtNb1pr0LGKwbYgS6USqPBiw/Bmy
HIclO9ZuU5tgwLUuKZAPjVGpl2GC9H5Zh5OHgkwaz40V5HQc+qhbovNtX1qCOZ59C01FnNGqyb1k
ukR7b2GbLUd/U3Yt+Z5t011F1qQcShwS3bY0SP9cxAG53ItWet5nljDylQRdR1ZPP5H+wrdHSfSc
r8hNQYeCpLYkUkrADj3H1trAT0PWcFe9pBzR9rK2dtLnedA6cjMUmR2z0bpFvspaFqP52E++Mh1C
YWaXpOtQzMG3NzyV4NqwuFNSXMMsoVeRMWWbzJRHtADVInSg3pQFZabuKNVxpMxcqm3bLT3w87A0
MNa5pFgRrBmb8UpThnivjPUdNrkIQYER05yDuUH9z2mnkxQWEdA46GJBQKiPrhEWbyrOir7+uIl9
caVVFJpCuR7LzuUUVzOBGYINzWKDIYWzEyUdgbjQuXxVRQtV42wRhQ5NsYj/QSg7Cs98WycklncJ
lqg8qAlRNbi4sFJmW7ZKDwqrRZtXfHUy/5HcwrM0wwolLP+phwa/0GoiRYxM2dAiuMrjCi8gn2is
z8hSI7gB1u7jnRZfzdY7arHclXmEHgEmlVrQKIG3W5DJpF95ejyQM6l9jax0zaCiXKZts9HV6EUV
VryKverO5A9kt50znXuJnfCYNv7eL2KNzOd5rwjKGwwVG04zC3vsDoEXbxpK8ADrxIpBLM8dw0h8
HF5Z+sdINyjgI2IGL8rGPA+V/C4jFnvZ4xZa6H1yUJ3h2YJR58ZDBc8q5eZVgw1Hx3eI+Gt6Z9WS
+w2LKgNY58D8aA37XMBeONe94Snw6s+DL6yVKfqaDyMOl5an3Hq6fyTJVV1C5fXo7NbeUkiETjE0
6sHyCeyL841VibtYdXgDAPhR8WG268MnzzQ2qMYbnGV0xRqiwojbxoeocmmrF8oO9WMHSMLsl9zY
qyAdAVTlPXtuktQLuiEwBEox3TYKp2qvlre9yjvNZHrsMu6DoRZPTJ3y7zXY/26uv91cNZxD7G1/
Pwf6v9nXx/Qx++Mx+/rHOaa0p8fqj12d8Mf67ab74zd933Qd/QOyRDYYtjRMCwS6/TkeclBCoEtF
/O8wMQQZTKX5p96B/VialJ+zYlqSYsfm9WPTRQkBDgARhGTwDULZ+qf0DtrbM6kk1wGuAK8MMQyu
cpvf9mYXrOuy/n/Mnddy3MqWpp8IHfDmtoACqsiik0iJ0g1ClESYhPfA0/eXtTvOiCWNGLsvJubi
ROw4kgouc+Uyv7HrbOmidC4BG1vlS9W4Yg+Qq9+lcdcgj1q8knQ34NjEC6Qp2jlwRP0WIa01q7HM
cKs+iJfZQuku+zTVbNtfXvIfTs+LquB8i9BpVJkW8EbIN97eIj1/MgeRdMgLgWXGuVbfk3Ib9HW9
09S20DmXW7sfgz7R2bk22+t/dQPAS3VelQOC6+0NYJnYuLOJn+yZBmxsy+QDIpd08nifSv7WiI05
k296DikuC/jV9u/cwkWuIr+SC9Rf1UzQGqp7mav0JrboRVm0UTcm645U7XFMiYHte2PsiyHYP+8a
8CKXMR3QNpeMAnuL+2Fd6zaqamBRQzJ4oTM0KEWWXggNOfNXO67pxzAWnOYZY9NYxb5y0R8shoYn
FMCUvaEY8bc+t+Z9t+jqB0NwoMl9EXnW0h3Hql6jDm+hvdIQzoQwHVq5DTbJ4zTgWJSQ9Y36favA
80hjXuTa2l8gCBzVrufUylqoiBWnHY3dlcn4lt6s8dM2IyKalrAxkLwOzWVebpdevGrGJvb9VLxU
SukGRRdDGfR+Mgr5YGzO578vkreDS/nizgBzaEMMWumYyS/4S4fD2Sq1SLIWfRsjdtFKWb/kMehT
E/nCWNcz30wZ7jjt5L3T2bgkrHBh5CHI5kEIAAAljLy9cNl4TtPTZI9cTIv2LrO2o+Nuw4HEUke7
se8RTN4mn3TAui5XNnTVc2o6bsUHRbYIb/QkhCjpQQRjTyFEIQIvZrJYt/MaFTmwIDn7FrRJoGj/
/Z1dgibkvdsMxlF2g09HA/AiBVdHz5xWDFHRLtKroFUs6zo5Z00T3O55rPcCKbQIVZjyltTjOBlo
zTCfRk9AHpD28Z8AZC7Yop1spOR2bs+p6Sk8NKL1JLoFFq3Mwr7//b5//9awtEARMrjHCM+8BFsP
cJHVbuK2Z0y8dvgic2FocP+86M5uMJAfyc9w0Nb/VWdJrjKuLJ36VEhSEAovPvaol5hjeV0RxSgI
w1bGDMCTkgB/f763LYV/riJB0yTjPBwB5+2SqoqmNJCeK6J0darI6VpxhSrCy98v4l6igs8PA7MO
7XBHoyWoX3x9RDscB4BpwfC4eI2dGEEguyd5Qgmph5PLJveUmbMFeOm+0jb6pFbxqiXm9oCZ9N6q
xpRzh6RJM9GPKGkjog+RqIeiZ5GLfNZ9epuZb1Tuo2JD+IUkeKsva3fM0FMjSSR9n1ARCFHCQXmC
scXera1IRTjBtzR8trPWU/Z1xl/rU0s7Ud3BmhyRnUAEjUjUui7SstSKUB7cXbugUXEuXBGD9sIK
+ehd6jVmqOv9pwWiJK0qpk54Fr6UW/Zi5cZD2WzxVdxA1jFJjxEhIK3HNgBCZXVQFg+fNLiiYVFn
r11CXolJFrJuBim/mDwWnMb6rpIeP/CmeLEn1qApkifQHKhZFd4j3E1W4CC4b+Ohyjw8R9MJrWB9
eNYqdjs6qh7TA9F/bhbyb1NBlW1ZKt0XJhcrvNz8pqkrYVl3GFOSzvbJ4gZG28JWRi8TFWHra9Xp
uZ/grPABDgnJQ7ZxEG82RnFF/qqlPPSUDG5QltxvMgwf4A/8tAWn58xQO5lRxppcAvc8Nv1ecIAE
OfomDFCUZwfqe2DGyJd6qeGCdDNifzSxcSeWVZGwshfwHdXOau0MsjsncLEyBCzN8mQVzcdc8x7b
Hu9F5opDIGIXWVd6Kxwsk+kXBp+m6rsPdoaectmMdyQYUexUL53ag1sYob8oDrhrb6ENUa4Ey67N
bd8t7LBti1fMpHRgH9N1O0xoAYhXqjAvYviKyKbJg/ZziXeXcRMbrEAs6NwAIOatwBTK11rOAGFQ
Muoj0L24YZ3X8shca/IroXGpdRKv1MKsWL4sQhevllZLabvW+jQJ8Igo04KEMFEIg1rzWkt4ToUC
yw6iphsoaX1akHrYpRRbfrGVL6jqFHcjHRwfcyn3I+PhcMvTF9tQ60O6qsiwwDRXh4JnJD092TlV
9fnDkBnc9jbiK5jjQrqUa3edWTYq5pNYbiNh3qTZixuTM1qJ8WC4hRcNa/HiqqiACVa4xpBmd164
3cZ9x9USOgty0Vppo1jvPiJ8vwI+UsU/W6BkhcHLfOiHrg+sieQTcMN2Uy18rDGT2YZUt6zLBtX5
lBVkaHz+HtF/xtI1cA5M9044YSl7bY4zv3FZtPWQvZxvnNsli6GFHeZwmCJ6viAgrbH/TI/BC4El
Eq8bJvOFkzY3tee1aGjw7ZzVE/utdY6aDW0A+TYcogdYc/kyneoZTm6ORni4DFSCJQFM6WXAcmgR
bDwHSxdejPzApWo96EX7XDfsK3vJX1ubu47b/OUcLkZHvA5oa+7ciUhQ5Xj05D2l6yAr/MbGfLfT
Bsr5mZdIMUA+tJFPkSU7KIJrB0bB+alATzoAmeyibKGJvb01z5Zen86nk6eyitWENwD3OL7S7fwV
Ub/4HnOAEDqE8DMb+l3XV01oLXpAPP1RFQQTQ2flViRdO2bkT33PPjYVfnci1iLyxAtZrKhzipeB
/EqGsxVcPXLM9u05KI0W4SUd+mcaUByMo32r14zN28J6oN6pokxjqyC/+YLVJE0Zg1ZHMfFxz9VE
KhMWOzOUvTx27Nq5PT/hvIpXuSUw+HqQRwF6Vw9Dw42dv0Gje7cZPGqgDjHgj/nkJrklFXZYNpWL
aqgO2bHWumc1N7WT1dGRaJKCUS5LpVNZjOdI5yJ8hPeg+1ivFhGVThZcJ2++69112C8K+zdnZzLB
3/hXLr6yhejjq0F+nUVh5QH7PG1JpQZWzj5cmm25OkdilBdJxDDuCeaMngRnPH2jzQWK2khVoqSy
uRN3CXvZsUDcf2HVj02IURtyEMiG3NaeKgLXajh+eiICa5ifl+eKIbipXibPwrboLsX7NRVrZMTS
fHXlRcoVtmz8TYh6D7BkmnDa+FRzzaLrPAIPwzeWqeyluBOfxvBIKOTX7fPuGcEsY+ekRH2qoCpq
E36wnagKzvG3kNERW026aUIzMJ2roVLk/bCXZxywZWToU1a1NbKBnE2cbJu71lvCTd6gknNOhxEn
Kfbj3IkbJS7WJzVtgXOjT4piKMmVuoiX81qphvIFEY3XalseYzVfOTA6WkgTr1qeNthzcjAObIG4
G8TN4uBrZiuQJs0JISZzgNFj6dm4G5uqDREkSfi2XXY7Z7xVwAXk55YTQkhKD0VTc+CtQ3tLlGyv
MzPFWWqmZ9Qj671bjHQJRjS0QzHO7r6uPSh3qM8AIpjXeRenFoCzZkukhwW9RcTdsnDSkCMd3Awt
Bicl1Viy17qtn+OuGsKFyuq74onto4FR3bVaCfypGqwjqzaJqHMyjPY07ZnROZDEcq3IiI0sSLFH
DgxjU1G8bENro0xCJECmBs1UHzsrde61EY3JeVt135zBzAkpqIScd+aLlDy53bpbQ0vN0DEX2spe
8jIqBfLpjt77zJMMtBu2PhTAtK+3ju3UVAR7WebVDh6fKZ6TeBAA3rbAdx88pWxvM6tA9ohWpT/X
BS1Ps1T9fqSduxSJSY4C0Dkt6QVXK29s0ruf+UbCNkxWA8m+QrcpBpzIsO84eO1z4ZUI1KBnv5uQ
VLyZDLzzhGsgcKt1Ofw0tMBR7ubHBn4M8Dq/vVW4vWnaGHajdUXv/GtSJDMiw116KFs3DuYlTgGQ
29/BoTBhWL+PCE6D4AEFkCpq79fuJGC3DlCc9KwDHlRldGZVOm9mjbd5rKOHrGcGRoA0kZG2V/dT
YgYkz/cKmFrmvaSJKI4myKPskUr9DibqBpTZdQYXkEU4P2nqfIXSuItrCixIz1N+NjaLz5l1AS4M
sS8xKt9gr+L23Gpo62zmQyJyHaEO9YRaowiqhJCp5mMfdJmmHNosVYN+Kdm1svLZBLMLdSMsZWP2
qi21F6YIe8IlI9LUVbo+GYPZyi+8+XPBCWRWdvw65wrOzJpbfKra0cS/FJcTyY5QtB55d1ocpWi7
78nmmYQ3GJyb7QyRqEmC8W3dwlmQManUcAIAlU7gknEcP4iT7AK3CcEBlY1hr0y1FyErwr+SFT0A
UMKBwTZ1GxKZStUejMXtdkWVgQosWbe1XKIUzJE5zy/eNOJyXU0PKb6w+9hDuU2pJoImR4G8T9ny
1ug+RL2tURZyWu+w2H0ZtfRFWPWzisO2P1nqQ78tOewUfGvntF+uzmOlTMWZqnGSe9xb8R/VvlJA
tqE6Wd11r+rd06iILzlnWgJ9otVX7wqpU2OHsIm4ydHE3COM6mJFNJBdy3C6IVZ2I0ZOvMkdmnC2
3Edazi/NWp5IMJb7DSc+skDjpunIaxTNO2mANqkbXTCG+gxtYynREoOCqDP9GvSCZ806+xY/8fRe
7bTmy1khryJN3svOfGGywpqC1TAq0lEcE6ObspA4F9NxP9VG1V0nSjY/li02kkPHctNl8ypLAPwJ
kfqr7IXHPXmOaNPlVlEMHZNQTwZpSXmZJvwarX4A54eyHoXO1EQVUrZt3dWHItGiWEUuRPOYTCjp
a8Jp33WcQ31l3SYGa+R8og8LRZhMd1q5VhOWyW1sAudNyAkorpF9QyR2r3DDCE1xZlY49pQ7WbVs
Cw0ix7ZEMCbdc11y9EzzON8lDVsK3AUfuxqqCDB1fLXSmdx5arEgiT2ID+04ZXTacepNGP4sTkp2
R0WPdylrEmxGdcomRiwgH90gcT3tlDRcptBZw0tqbFhqO+mPLlswAwUPSAcE2QUPRXp/VFhNHp7Q
34q551e68lXdVPWljKfqVHDqnVc/9eZ+cPLsimL1lSYET1XYH9wli2wEQiq69oc+5uTKG+WnbFRZ
5tYexsSbbqyWL7IKeQbKocyIm7Tfk0MRFJLmofMwDzAHr/EBXyD5p6a3a0YYoxkp9qWjY8JsDVfK
uGVE3OZ61bdtb7ZcHo9x8lWTBCtT9Luim1CiMJkcKvDWAwDgXshq54jDnwe3VfPhfPZ6C/s0NePH
vxf+1p/aC/QYdRAlDsoYUpLp11bZlE/OlOSriJSKohNeLuLIw/Dcoh4KWbxErVfRmLGNfOVhK/A6
1vEhn0XzyWo/u23zqLqZxh6m0JVpxuioyh7/y0cxJfeqvmw+pCnlADp5DNIZR4lmnu7tUkEY0h1I
gIfk6dzIPNdIzMN/ZEOZvmKpNaEdYD9oYoP/qgzaSceX+8pulvK0KDgZWZNMSh1qoIGhKfUS3i4I
VZN7SULruQgb4dt9GN0fOR4L11Xfer6ZyCwwlfNBat7AStz4KDRt+fctciYCgD1hkqCnARXy7SvN
iywtE3ZKFPeUHK4zx1c989qDrZN0Adn9lJ0DL318RrRsN20mafz7Z/1DU0wavjlIy8LBpJ/79hZg
GrZWposxyh2cu3t9Sw99R56U2i2SLkreoS4zqQwtM+OddpXUwv0Fb3XuV1G+gytDAsFEmvbi0uxs
+GvCGyO3XZBhJ6gHaJBqH7LZLgNza5qvI2hPXMA2QNNWfl9P5fTRa/QIrUXt+e+vQXbg/g/265/e
GfRR4Le4kbK8L/rAoz6qTVrPIjJlEJANA3NgSyN4MOw7y8RGguj690vKx7u4JP1RmJCMJ1TtH2LL
L61no4Jy2dGUipCBdfdFu7r7NuG/tKJ+XPoOvfFUmRG17wqoLVN5+PvV/7CbmRNwAyCQzqOst9+9
5KUaSN4OUeuSjAkaOj6ClP07K/wPr5UuMyoClkvf87cxFaepDstJ6kxomemPGxDFLl++Moi/7b3i
yzoU2TtX1P70YMi7sXBhHdPdl6vul9faVsjeLKg5REmW99dgf70wAyhxJCTQypndx5Tjcwchlt4e
o/VyKdZoWpA6XxIkw4sp+7H9S7UT2TGVc0SQMhJE+dviQmGqyzy1YY+J/GvdWOvPf5JfkZPjFUv7
joPnWdHk7crCOtVBMge2GsoSzkUjeNTxQIkr0Udu5tx20HCDSrGqPWZKGUoEHMDaZH8Dg/LUqIj9
q85Tl8Hin7L5Bi3mH4M7F7vNyrZ3EHqXkkq8BkxFUSVlqbO1UbV++2XwJ2nWBBHYqPQm+jQFybPd
EmpGFVbEqOvHsW5P+Jn1n41BegPVfCIlRd1Xgga0bqExRR4H6FTXIShXYCps43bWgIIPef7d7g/W
AE9kM0lBBgc5NOMB7tHrmCBBWSZjDrs42acOnRoHFqs/VMyW5NRRoGm809Ui96W5JIwOWVurqr4r
4gowXKyUvBpaWXJsdz7Y8k3tjn/fjZe8aN6NnCTDQzSAbIHbvng3njYtSDWpTYTz1gJou018Z0iA
5c8lfTEHU3HMNjJaB/hVDtOknh+T1qpvFi1uia5DqzbmpNvyTlw16og9L1iQ/STz5k0aIfRlst3Q
kkC2xaUTirLge/HsjLB8u+wc0FKomRiQ/VVkM95+X3oZxPmOZJOktN/lWAyh42vMYB+651EH4Zja
5QmljW6v5XjhwHdG5QJu4N9f5e8zVwiaHstLZ3KPLc/Fm4Q2YTQTGnsYE+LIMvNiJOolqyb7nQvp
v0caKdjoevA1AJ5i1f32eZmCxK1eCKwfKrqCOXmPtootbJ2hei028D2OQ1cqk93lFv7yrgK2vtNH
b/XBzSfB3KQvqAy9ZDPzJqek3hOUgGcQTi1rxorinf72CcIVjdOCNhzOM+9id+XruPhoDPBcVbVQ
ugTOdjGaqqhcdW1LmyjtSy3QCzPD9H1p/LIn64T21u6Nefwh66UzeGZs09e1dN+JWBcYQrn6gUUw
T0TBz/z9mCj0sXcaTWsi1ax/Gt7a+rwGOsgFYKh5fe9q+gWs73w5aDaeilQ/TAn3IvEwag2pNFtv
mF+itCKaeg3kWHLrdVwitcSigUtCDfuJIwI15rtyq5/rpRY3+IPRFVCTl8bV1psC4bHDROG9E6ag
Mi+p7PGenW5yY35HQfP3c9SR+lUMih2biH4JJOisxSl7rFQjR1kBCfcNyi2Iz8OipH6ilQ2CTC3e
GVr+IeHnaqwIGDoAlGH8vF3fBanDXLd6HcU5jc22NkwK8QXuZ20usCYH+qkJwvyaGI897alr7MEf
zj1D+u3KHt8UNcgqWggxg6JgEFNPI9TQrmitaGFLNtvgEEZ2SdltWMMzZnJ002VPpNIonHTGz+Hg
yGiWWfRr5fjF1MfsQVBR+WVtpAf8VzCDQhrWB/b9VAC6wr2AoV6j2e5uY+gQpo5M5uPZiyw5oQTo
+XBWhjjPNuoCOiczt++yErazgcstKhOK+KuhLIvfNP0cAp+v/jdhA8EBADzMhBHxuEg1GxfNrc4k
bCTrkN7DLqEpQPkS6paJWyJ9TM5AilzwjS+0zelmW3zoam7dYMYicV/Z3XzlrPSIzrG+1GdGo2sG
OdbsGysYBv3LebRpNho2I0xrr0rG3bdpzkf4e6T9PYEFG0t2AZoJjgGq0G/XR5eYjGBREo/QeF93
4wLJqHTkljDT6TrpvNL33K38YiKLHIAFFe+cmZduo2xjFGUcywDzAtAGy+q31/fwO/HmpaojtWCK
Vuvdcq8J+v1uQSfcaD3zE0a7GKcaqTiOEFLhOXJCLgp97Ez+lyWqNhhVpwySjWXK2cVEyWEAhHfU
V1Ubr8RaPyvQAv3z/IHWhqbQ54uXfJ+i1vtsNXIaYNFkz2lKRmope3yLbOduTfbQtbP5SS2soFG9
Uzfp2c6yNwsDXaJKmXiv/I+hR6GoP8ExF1HlArARDuPGv3+kP2QWqHjB35FmtJzKtjzFfsmHJ2Z1
VT6nddQypDgPCEpTjoQ1JkJNxjbchgJfObEdF9xPd1jd0/fJPjE8aI7nMcymAqptOlzbOK0fChnf
WvsRL4yMuXjzpWKiHyQY/wBxLdfo73f/e9xzdZuMgn2vUqZelojjoCDqT+MlUlwz0mLmizJUiJV2
5LkbVcTlO1Hvt+QZMWfigEFRZpLJcDC9fV8QXWNsOqkEaW03u7UZJF+E4/g8i+nPn3dkKDQRX0By
ABoZ5RhwGuBZGxBh9l3bib0FmEX6lLwXPC4PyvPNIUWGOgsnIFJ1b2/OXt08V7APiLK0BcDdcQ/Y
PDIFYFxWyLfy99f/h8vJLQ5SydAoJn47duDqQUquRTRbctWCYV0VEiqzZ+1QO76XQZ5lmn5NRhxi
HBEFRCdANuTWLtZq2k1MG7ssjdI0tU4eZi/Ews4JFtMLGTWh5z8LMpJM4qIRorIOmTXHB01Tqluz
Np3Ps1l69zny17Yx3qHYvuxbe7B35ozL78weDeiu9NeF22AhN682yplVhvkUHrnxVDLd3IYq7DN+
PJs6W86uHzLa4cd8RNimzvs2UGodWU4ssQ/UMGbqKzVKy2ZiofBmpNNxieeQjmS775LWRNEvMa7A
cihMVMRdj9ifT9lmRBDteYcAymFGKzn2NSK5q6iTww2pAemP5wZjyh+kuvKiSbSdNrfjw0qiFpYF
ojhOSqUWS3kAQUZHR7CjrZ4xpw4qURpXAFQtcGDCywO7bKuwaszsasy7aQZpUQm6ZLGBbH7rItbB
PShNjJi/8rEZzLskzXS8Usf+2oWDRPtn075CwjOiAZnCdzaacZmow6YkCUNHg7oQGJ40RPo1MHmS
L6EUnPIgKFzpOMz0ugA1UvUqk21yqVwv1bumbStUQWcTP4kVaYdGfsBamAE8CJv5BcKW6HU4WBAW
6fdCz/H+BXoIzWK2aSlN5n5VIH+jGM0gvOqqkCGC6cuuROgam/K41rN58uTP5/VwN6T6o+WANpkX
GySJNeK+1pWwh/PefafhdFk8APtjQ7GDyWMINOrFUidyapbRCjdMuy3qIAjQInpn914Gz/MlHBCG
FtbmqK9fvGCqMItGQOICGMiboMajz5869MhFswEGGRD1WxXlvaroMingosROBHvpsMuwcRGhEsXF
vDDF8LqtnXbP8Kvzm01tGbvBH3ANRnqKYfXHGsdy3xxE/05bS7vM7VGAkwkyIvp0VhFJu8jt17Ys
kAytnXC0G4W5fN7ztQ38hXN5wdjyjg3W2xHR7pG2g4gK056e/h41zwi4N2FM3gMtcrSFXEC/EiD+
68pm23SO3il2iMc84tlr2x9K0+goxNV+23VT5qEmqvbf8PaIb3mR5m29gDqtBt39qAhnC9LJgW47
m3k4ImDwrPY6r7Ltye7SJiyhun+YcZVDzsThcYbUObWtaUtT6/YT9pcJHIcKl8XZG+6xx2ggzivF
O8mXJYvbN89IAotwFrwyGPx4I1wkfyvCmGbLERqO7KrTbKD6qTaJ5ntTPV2dH8KD+X2vzolz6lP+
gMFj7HubugX43Ob+RgoWGPQifCONk4OH7zmu4TmOGeC5kLjQX3Eo7w/KBNd4dBGTyRLjAZdDY990
2XS1bSk6E63dgQDYEHdbnImpNsIRFmqbUjl6jzHQBsKnljP2SgnLBm39TqrGIOoSiq7tbxf+ZdjY
ExCLNPmwKpjl2fFc3K9b82nrcoMgNF5ZM/yozUR7NmnT6UbPnOFZqasff18yxm8nLa+TJjyYSodW
MDrFb5dM43lxtlE3hYno6J2MSufjXHnKkvkjdgYx8ggmUvQDasWZvUJmoePl51bjHgSaCTslo3sl
mC+jCsI2y6spvUZDRv3WQoJhvOxt1/yKfZowzGQibFYHGkkjFJvUjoQ6fd/yxrumylN9dQCyZw29
GbY61kNlp3e+YtefRnzaw2lRHksa0oHYuvcym0sVbZeYQc3NjkUPmQ18FqP/JU/NcRtB77uwQm3i
8HbhKHzVl5khGDcOLQ4PH5ww3SEaZizZDKVEQGZrU+ydBhfBqawJ8jSWFrh1+ZQlEt6Rse0EUin4
iVm5Eupzw8K0EyXoAMcFascawRki97XMzf1RdbX9irnGsqZ4K+rmx3kynk1FK3ar53yM0+wHtQ5G
XMynrstBcQ4JoI0bBPTc+4F8cp8WeDB7U0E5XqVNUGIVFNn0BiKTkV/IYJKFPnFJLPCM/d8Xz5/W
DpMLk6Y3cee3pHBdspQZJWsHXvkrbAP3Xu6VDk6Vj17r9E4b1/nt5EJh0zJAqNHJhVp6CWYuR3pV
6jgQYYFTBcjce88Ay9LrZqs0H6PnJcT7Nb9N7SG91t2OgNeRfmkzL32ZWjJ4d459pomfJy8+zYl9
E29WH2qgfBYbDey8DtqVfT3lQF75u35DThgoHuuyyzk+9JndTNr+Wvft9qDXgPm0FqFCra77A1Qx
jcnhUp3yXsV4OjGSMAUS/zRPRfeBgX8caHo6PTQYHPumDk5DmBotLntr9wmErRvAXN6RiezDAD/m
4ImVyLF5Iyo+lXPqYFfczCphuW+ECHt5O0xMC5mIT0/WytrqJ44ZBbvz0rd0Jw/rFo+tFuPSW12t
VXxxK/WrETsFEBmNcXaa1krodSVtZ3SPw5YXuUsdzd6n9ILIQNkQ2ztZwR9WC4uEXozEo8tT8m2k
6W27EGUCKtaFqEgM4f11aKD5W23WgWOxIf7t6mSqCCKdFItC3bqs0m1RgQzeaissypIEpGE3AJvD
2THP3EO6We07u0H7PbGkbDtrVlDwMszzLlIQF3hbqyeJGYJjMvbZCjJUg6dzykoGUdWmpteLZ2b7
pLdxKRm7Q9cTLmxEsPY1hn++M2N3bc5O7C9UzihzcVCpE58aQfQOUII2RE3Lo2R23X0oe8K1VcnD
3Yo7Tp6suLeq+tsqw0hSQejNdBadrRXfwC+2e8RbCe91pgQJvclH1Cb642a7N8WUipApw2uLAFCw
zdarcAr8X7h3RR2WcHXj7Zq+lr7XxoXGSt09oj9HpFKI/OejtRGkWh2c0GcQZcbeKwHca4B8wYiw
mzyPUzJlCV7XaaFez4M5RLUtT9NSAAZvyEvwXuSoLUfEPOVeXXXiR1eO60u1Ed/ExDrfWpa46Lr+
ALKYs0cQdnvRtJ+yTCBKVnFmFh031DiQLem4bPhrpUwBVsRd/vnTgvWOJIQSIvJDNV+DDAlGHau0
BWjBbpWnbp7q/dHMhMNmIVxk2kw+MCwbL3Hpj+mgujdaywB/xLLt6A2Je+gddmiV8lcQv8WPJ/YQ
lakBf4P5HqIu6bvbTANFVA1xzbnAYyqWlt9Oyrbh7631+xHX3AiOEjzeMuPdFZYbFZv9ZK/O9xK8
ri8KUz+yO6cTnBpjTwRjFVurG01tQcqSkUaft7tn8/pAmnIFhVOg8ch0UiwL/dQzBop2Psd5d/0/
433KC32v/8f96/8Tuy/0BCgL2bX/d07nTbbV3bc34p7af/7ZfwicmD5wSCF1YEgRz38kEyR7U1ae
JpHBNXQ22X/Ym7r5X8huMgpBGEGFwy0FYP6Hvalr/0VGb1NIEcb4t2ip/AvJhN8mZTBBYRahCoFi
AoXZuYj5JddZtH4DeVtOh2oy6x19yIYOS1tGXa7dGoSjYxZPX1D0WEDpjz/12I6lKeF79SFauxdJ
vLwPHR6DJYfFzB4vknjDS5Raq2NkAHEvPAyOFpqGgDrq2yNH07XZHlr7PgbGPGaSSWBhs6Mn8U2e
LsOu7YzHsYVuoB82ZPWyW0Otro2c0VHmDhatQfrVtnPd4Ly1m8mxMQp4WMeVLh5CXxYgykAdn2aE
dlYoh0tc7fOyv18E1kICuI/RIKpsh3FffjbL5E7JmxKWq3gcMwPFfQMzUEfUATBAaY41YVWpIhG5
X7hQMLo0CnCTf+775tFYSfbjFY6PcY+akKR9iXTHi+0NY3hO7RmTwnpTQxxcdvVChlyVWmilib/q
yOHXuH8asF0+K2L7gK72RxiUVzBqDkxNrqoUezGRgHlrPy6L9QUOn7NbF3FLfTruzGSy/MWs3YNh
ZZ/pw9927nZlL9bPOs0OrvoVub8nJ+Hyg3PTWd0HO9YiNJ/22qIEs663O93hNgCe+ZjF7yVJoy6m
H1lr2IdxMzR6Pfar7m3xsbf09FhuRnloxdgGi7NdD9p8o7i0o0GjFbtZ031jtT+WRXLs1A89rnD0
Y/B7MeeP7ZLcc26HjGlz3pYngHOue8CNgz1ftbnxVAIQ2qmKSVT72FbL61S6x6VXv2yghVZa27t0
bp6RpwmxFLnWW8Oi24CpQVyDpPOeWF47YcHhMkw6XnTawWvtV3W6TZT4OW6268k2PlDFUrE645Nm
cGpoP+qyvO3V6XqcFg7iMQnqZcMiYbCoyPTKF3EReMvwNTcGX8cTE7A5ngMszTa1n6ir1R3k1h91
28VQjcug7nEQ0QGblfnwXR0QiYtVFLTQIxxsHE202bcmfIRK7dEsPztdt93ldH8/T1t53QvzIV6m
KXLXGYlPNEOPeHoFjDKuIQ8FdlsdEIp+tsf4p1Dqm3W7a6yn3iyZQ7UKchmN+qBLAQFl3o5Nkn82
tWo+jBOeUeBCt9g5TViOgv8KJ8u4M9eHzm1umMb5fZciR2uu9cnEfnQctSQY7fR+wM92n+TDgfIR
FMCwWMzXLHFw0/sp0U5VXfqdd+wrlAuh5u4IB/eZ5MFhgvy5gVq6oe4Xb9k+n6uC3p7W3bSe1rFz
REEyY+xXNE57F5Zb4YatuKde8+dGe0DmNdBqMyzU7ZPqlocJvbNuSOcdw7HPaMD5plJELA0nUIH8
HY16NEluMQKNJ/u2HrWrVHfob25P2aRbQTs6XzJ4sb7ILCgvFmQ2gy7HcgeGPQLI6Veb61yjZrun
3v5uT+a9FudyO+l3njpiPjZYd5mXHJn9fK1Ee8xG60ctUGShGKDDCkFAr8tQFBXGSeosLbJIwh0G
HkDQP+CAiXdUrN4lYAH3lXbfIVuu9ipvHiBIoipHt8luyqyaAxsiGFOPKTRXcOWKbd1bXfyAyAnK
Y1XzmLlVNKWx6WcWtqlEmpcaHxdztT+VaB/b/B9YxAoERcCnrktN1tU9OVt3B/T1y7iWzSHVxpQ8
yf20zetHZ56TYPHgPwzXdRLvprJ7VBXvbjPaL0NhfdUHPRzr+KSu45d2FZ/F6pTR0PAc4HZWpd53
07rfcEP/sJrKB8/l9ZQkm66D2PsI6GeEUbJrQcRTXHT5wXHn46y6cI2NaOuaV0OUUTXm39yEmc68
xseqSfWbNmbnV1CsfK11f9K5+LRYJFH0XvdwjEO8OMCzmjDu8B/GH1urDu7mfdNHwLht77H+BhVZ
v1T19Vx50mvjJMl2e3bYLXrrn1uvYrxJi9Asx8pXy/5bjiEwrTuM6Yf5C7Xhf7N3HsuRI+mWfiKU
QTnEZhYIrcmgyuQGRqaAQ2vhePr7Ibt6uqrm9u3pzZiNWe8zk8wIwP0X53znAR/FszZ6Z33orrOJ
pr9NXMzjWE7MMjrMkf2DclQEeoM9x4jbMzFFSCTCSzqM2yYFOGaTrEVNSXelaba3kg2r/WYKN5ae
nnj1Dp3RF5ve1h6aakC+KyM4MYl2sXVRILaOvzdltWvn7I7TDgOXFj3C09kBGSPgEQSum24ax730
vnUoZ/s4tiPF79GR3SpFGE6sQBfoSJwd8bW30pcwb+H3NrtU9QEdxqouOYT0Mtx2MtxVjbOuynfZ
Ftfcd9+GxjhMmb/uMvs0tt1+HCpiHou1wXxhxcTxoMdTGKRJF6TuUx0Sq9zZexVf67J7UzlLkjHb
4wbC+2h8Ibn1RgIPkxCfiAN/F3ch1pk23M+aXBry5tkJu48m7cNA2jBynObNI1pAkD+P9hUUrbkf
sx7g63marTVWzRgZf/OozdZFTZxc1eQEkBwxXwr3QUzyR6VO0eBuSle/yeknGOgr4/9tAs200a2f
VOC023CD+8w4Ub8hDY9/xmbxXUb2zXK6q+U0+ziNnmEmbfQeCJJo/C9egsml/9lRideKo5PQtFY0
V1FPvITlF16R11qJo5u9Dx7K/6F4j9iftGly7vX+RtTuykJMtjNDeWE2+IYV77FpSV0EONBjDVRV
fqtF/p5HSxSEZn/6bn2FVLQvJ3VxoziHrGStEt/Y51bLTKX/6Of+CxapTSZmSKPJN+Zhn7mlTlLD
HBHCnjYZOpUglrEmtqgq8wzicOIFY/wE89viUJDsjTiWe4a9Xc4kvN90U74brcuceIfRzG66H/8Y
vGFjwSfAU8v9WTJRmlDnw6iTqX7BOQTO16/PkZ0+NoWDbci59/mwkujG4rz7Ki8FORLtS4J0wqq1
bdUm14qZKg0VcKaBHW/sCsAc5qYgOXRMHpg8F727y6ZxX+btd4RLJxmn+2nx0Tbm2c5NAytkdvDB
h5PXfbInVkyu89pMzScw4HDT2TY5o4NE8q217Ne7eTUl+csEfOFxnH1j5cgW2buuU9iUJUKWwVph
dzymkIrSDmRUYYuHSjpfaQa/mWH/BgVih1g0D1y7eW1SSM5j8pqQIY6DaeXA+44mipn5eejYg3Hw
YhpeWSK/1xXSvbDdKUNs3IFM2+gyjAL7tJzOjFpBVJQrf/yZyXyFpKSrcYiwOQy7+Ja0Ry1Wa4es
9Ok+zXJbtmihi1sdYp7U0BhAmpXcHzF9eX/vuYrWiqFqMu5msixc8y0a9Xvc65wH3i6OntN4oSOJ
fR/bDzPrnqrpz5OePw7GQ27xAGHcmuN3TZdEMpFuWPYiUMnnSDossKFzXDUR9qbpOPkt4vna+ekX
r5J3U5XRkeEeNqNyH/o0ElWNzBVovIqCzHt20DV5dvcR49hAv9GvRajHgUf90GvuW9pZJYCO13qO
cMpqh948IdbDoMWRZVOSTqFzrHPnycifB7GJSmWPq75Na/yvyJM4rPOXSHe1FSCn+OizFe4h6VNa
tjPg5SK9VJ6Dk0pIkNooKw5haOH50xu/+yLGtHytO1jZcyx6VOWd+ll0nffgJ7T1TWoN34exTDfo
qfSdEAm9w+yEQLV6b2V6YiLeUujfnCKTj56VOye9jkREEJmT732zSl9Ltm0bmFf+fR4sPkmtk+85
1fA+Yz8K+J6+f9PhQzmiTjT7ldRTEmMtHGlTFh8MV0V7t7H1H/xI7xtDuvlTy+Fn5kJ1mGYS46mE
CQkrPOpunkReqBdJftI1t3mi36M+pjCbgqEp2sc6T61nKHzTSvPZ1KtEjge0WtWpHOzo0GvK3LrY
rB8KUATrUBkeqTSameLnxJHdl1V9Kcok2nDXVKtJ+PNBw311MQs3PDKBbo9+70LyYdMEpqDx+dwh
yV86VuurwlSX0jPxc0dKT54YmbuveqOrbxXZP6ekc8Jt5MzRzZ7m8iuQDf+aWEX9QqPD++O1Uf7p
JU7/RcssMQaUxsnNHjrxLPxE3qFOqMd29KurMTbiPtjJdGtKX56U/TrEImi9odn5czfdw9KwXzTb
VkNQxMr8Kjxt3E41kHt7nrLHZnB7XJwzLDcuzHcpYnefl73HOH+aPpNmLh76bOweBCbqW9YbySGP
oRowAl+2FrEEte/1W0ORhhBR1weOVbHzHWYnsELTWJV2ku98SX5LvjTYRaoAl8soZNybjQzNLCne
LITBq4nj6T0RmQmopLf2duIaJ6ZCijOlgL+XxQ/l9D7JHki/FKuhy9TNxE8WBVWuhqeWJ1MRr92q
fFcCql339fxNwMGj4217lD/h8BxqzotXzDenTr86cba3RX6QqHzsGVS73cV7zZlOdZxs4mqEYuaK
laZ70dqGPScU96/ufhm1+jCoBLKEYQMY5DIzkw8blYliWMtedduhwsP3OHIx2GJC3A6h9+pFtr4r
wuZtMstns7APse5dM7vHeDmvZGLxG/e7IWUu3bwaRudvKq39wlpNBiqKqShz53mwh5dQM26VYvan
cRLFMgW+px2A/7GhiYZDZdQ2aUNmts+LZbM8mzfl9QG6rYychmLj1/JSx2OLeoKivI1jdN72dmi6
bdFq5rratP1bjz67K9sTKQUBrqhtlBU/q6J9+cN86OFvm8k/xnSho/7TsIMlu0A2gyyZuG6bWbT/
F1U8rnUqJuGMeyd7o82PT/PUT7dpJAeVNY866k5RX6cymh85n+R9JJbh2cDadmvC2hmD1imGL146
5J/ur1clXd4atbw/YnmT5PJOpcvbVS/vmfHrjVvevXKO0qfRAnkelLya/fKOesvbioRvPmbLGxz+
epmnyGph5KTaMQp519Xy1nvL+48jO9rkJIFcyAr0d3jprDSAaeUdkjBV6wLz+AOLNXNbLWeLsZwy
0CLGQxRy8uhdOK1qe7SeXaE4l4yW+jySsnvSk7J90ss2J03TaY7V3HS3aKYb85eTzlzSQVHF6nxc
nINiORE10pJ+mMsp2aguPkgykf2qlpv012HaL+eqFkfY9X4dtuB+iIJJPfleVNQZla78u52k/kYC
z34dLEnDMI4c37ocnVOtRvlo+6XxLfS1aZMj3LSqhEv+1yVQ9qmxG5eboV3uiHC5Lcrl3oCxqH7q
y13SLLcK85zy1VhuGkQuXDp8m+UhgtywqZc7yVtup3a5p1jByMM0ledyucPkcpsZXGsklJtR4M3t
/J0h4QkGkk+ohWm0r2NDYKOn+g5NGMjNNyVchlp5b6qvI8gR3hqLxIQqYgCV8mxuemcosX5TwJko
OQNrKq5umxVXlE0xKhZTXquBJ8/CCF7RtO0dTfqo+Rs3/LBzAVSG1cBMc1N2xrYVutus4+7XT4S1
mZM077Uu9zQoTR6mQhJEUZbZQ1kkzodXm+YpTzgkdg7BB2TbGjaVAkvLYsQyYaefll49DlbG1qNC
+FtvZWhRl9AtrHp4pQy8cgS0SecyVRPVtBnq+i7pNvejZn9tCkY5vT7QSczUlTOPr8oAnUZq2vha
+Jwk9XPWyXyjjQnZuVqRkxpWIMqkYf9BE/Omwca+WL3vb9rKfhliSk8Q6tZGz4eUE1aSk1lH2d0b
He3sQTvecNFDE9LT+Nkl2yhggZIcpeM8x0by7GGnPiW1n+4LlzK7z/VjZBlwhwaC0rfOROgyYzl8
vfDJY4MYaM+IfyqlkTVRz5KqOO1hu6oz8S16MOb88ZEHY5W4wxfRG+WxYF29LZzJZrtemruarO01
wsk8aGd758kSw1AxEvwC6GXLMJWxit58ZL3+SF1oBroz1QHVx0tVTq8ox4qnkfylm+llcmf3/eDh
pk2R+7qVXGcpKkcYbhWQCsPYWYlTbT13ngPPHtrtYPKulR5zzbAlMFWLlBtEU/s+FoN7IIwz/hLP
xbswiMnIRdXsMpdNee5bsO/mrOexitugzvNp1RiEJHWV0wUqnJHZw4UhXkXY3I5+TmlR6bTzDwIz
GhAyKiYlafmlF5avZdjxDSu6VlzBzqr1h2f+njhElsi4dhH2v7SeU5zKToQEJ/k6EYgqvpSh+91A
xPlMFsnMU8CBouXFd7qYn0Djn1mOIA0xYneJ9rGvVcnSqXT47DJffkd6K4IMrkqQ1m1O7n0BxVDF
n0qZX8bsqy6SC0J+nghAEKpwH2ajJLQlLX467XxXRulQCvcYtrMOS7xGyjvghzi6to05rK2Ew9HQ
aTyGwuOyYrf3NMBSf8FV1tK9Gt+mUrc2ok5eXBx4BurDjcY6ms64agKgvfIcudZJuaNklsz7Bb10
hDRKOcBA+gr8kLCV3i3rfdwBd0DLJ/fRGM1fEm9pMiNLbecJ72swtWimV0k3zO9hnOZrEi7lyu0z
bWULhl5ul1QfAGStQ6Q5+kmOfnLIOru9haXbPZB0XjyIUJs+Q86fk2HW7n5aKqphqa3qpcqylnpr
/FV5LTWYqeGN0sZSAxq7VGecuPYL4Lnp3izFW88n/uvi/X+2ofrjgup//X+UT/f7PgpR3j9fYz03
cdU3H3/EkP7jr/2+xjJ/s2DWLTv0X1bZP2yyjN/YHSGSZeu75HovAsq/B9XZvwmxrKsQn5ECYi0p
oX/fZJnE3vm6jdXCI65ORxX4b2yy0OX8qaoiVxzHmg3mk+0YNk9f/6twqUg1jby3Hva/rRg00ogz
s9vnQ54FwIK+oI+LgmGSGfmO8G3msvsxmeYbGtovwOj1e1ijmxH1+L1THAIpsiQGIU6/1jRDw+5W
F09ppbenxXq+HIDFemZhyyI6eUTfh5gVgtSeWpKjNKquUE5QNsZKUhqLLyXFydbp1b2kpcsrWP4K
+WsWCayugNJgb2jf7ci6WtiMyKHW6nekIgyc2CftOYkdRjhWyE+NhveY9RgihjPL7UEG3QjnJHei
B7YY/hqkmrbRaxpvw0qKMxAr69TBqj5WWuWcZRGimK5cO1/U/uo19JltxenHiIEgZbAIj79TOPOQ
92zofYB4I0lYyZ4xYWLa/R2S2S5tUvtcsf4m0Un02zlUJbRxX0uD2kD3E7i9IqMoEUb/0+j9a6si
Z2M0lvtoIzxd+ZXcyLpNdwoUDrLturi4SQllbmrDT4sR6t6h7DjK1qzWiKJIgRp995CCrTjCxnQ+
O0e9N5MvVxYl6GLLb1emD0qOKN3qs3d87RI6A2lQIy1Y3I3Jes6EfZnTpt+KvPyRGN24owl2b42e
IOOOkHT1iWFy+JYeo1LX3qQSCszo1w1Th8m8e1RfVQWVqUTsfWP6mH6xSvXF9ioJ/0LB4V5u67zV
z/Zyf1elLZEYcKenXCpx4aV7t/Tf/eXedwb+OAYHJbej4XabgQKhXCoF/hTwmqqRp9jNnllIPLtL
XeEtFUYeTfFzG0I0S12sNy1KOiwP1CRExnmUidQpc+pbm3GpXTqKGNfCpu4yi770Sf3G8+r/mJaa
R1+qn9ksm3W+VERD1dIOhhiQp41TTtAyKJ6SpYoalnqKxc2Ca7G/ZsWk75OuvRtL9ZUudZiTWO02
78vuVY+IMya1/T4o/xk0ykNh0W7S8dCeStsJ2oGxUuAPgFunqV2WtZZZN7scN9uhCNkHUak11YPt
TNXGEJq2lk2a3XwQc5vSZsFF2ku1dXgGb1HXDkeCl2KkbuiTMyk5zvx2N5PdsRjzJfPlxjqhdknu
bWJ7O6paKNiifTWidnrK/ZwRFev2vdFFxaqzHVg6iblL4yF/zRJA3XxVhGoJNTDHTjrwL71GbHxZ
DZswNeszgMzoOKuRrJdwYH8dGKIx133Y/CirBtw+ZS/TSPovJ7enRwaB/rqC684SuLdWXescga9a
N70J8Z2FAlmGP8aPo5FRqldef9OTGQmk5szfOuVzSc8UyqNbsppNujSoZuMxJCtr3dPRLFVQuQU4
BxinDZlZO5Fcp93oQZaoGPWbcsnjyLO8YOKkO2t/1Po31frOSx/17r72VPiGzRpRiI4kTAx6sott
Vx5wwapT7Yr4BZ4Xc9yydqxAwoW6Z7OhXUHmzBRxWfLmFOabLumaS0cFUUt2WdVOD1U3mD+GyhgW
YsK41uIWFQ8iQwwrUzkfPakx8GczRXc0/hisNr+5lTUeiasb9/ROjB/CinGDm6VbY47ePDurrvAk
TziezbXrBF3ELhJ0CXFHyipXnlafpiHEfG3EVrLOCQpGPSPdk53lycM4h9U5NLrkJnUGvaXen3sn
Hna53dVvJOv1AXs5Vj+1YuymYAr1Mf7vvFV8nMmcvAw+v0Y2qvkeyvlxEkW+Nj3YkqUa40OV9I/c
Q0wqyxBwli6iT7qgeW9k2nM01fpmtgp4cWbR3crUE8j953gNQbRfF2Z8JksBtExkl48i0dGTxqzn
G4OOD1nE0pkh7YLOR0WtAbE+IAPu151Wi3UYe8Dzm7SBJNItWRZEg4Y5gJzBtTiFY/EDGFGx9h0a
JwLrH/PG+RabHvbehM0Jq1u22nqFAGugj7X6dt4MfcjxEuJeKIvwFbMrt+LyOyB7tTZRDHuv7Hzz
zRt4mzMB1R5Pt38B+QOw0xwEHpzUisZPDXgnUXgocZ/Nyvsp2uSSjz2nL2BBkvo2BK/fBjTbBBuk
loZfRY53c5QIeL1UC4SW3F2AB6yaneS1wo2+qU00GP4sX/PC2QltzNYOd0JBEI3/lS0vnma/+l5O
PFBOmz0PdepieVPAKTL9Og8zc4larbjtkhdAkPj4Nc1fNcs37aUq3FoD9byXc/R0fvGdTfAndfH7
4JohHyopgZsMqcPGRbG1SGHiI4jMB/xNzcXTI5xpuEpjwyEzjRHEqiwGc42yASXlXBSgh1xr3w5p
84zSs1vPLb5vp+vyvTWVH7rGKQRGZU3u4cbpxKcqWGbZ4jsbR7DnncGWzxJ/U3L/p9z9FyD+X3Wr
tSQi//Nyd/3xvfn4G4f/I4LCv/8YfmTx/1H9/vpX/lb9EnBjLpIsHGEujgrfopD9PfqGOtawEXii
7UJbav6Bwm/qlMwwACjPhCEoS/9R/Oq/6RTTuk5azu/ir3+j+P2LkpZhM+xhFh4w7oHX4IOlNP6D
iish5WaywizcjDDcEkLaHVtuma8BKbZ3f/ic/pvp5V95//zfKa4XleriD1jMJX/+WVFOJDBmvBB+
crkFxHRXeb1vU3dboKyd/fprrotVN7751lZz51uUz/pKWl8y3jwznk5TxqXO0/8vfis+yT+aQP72
W6Ek9izaDd/5KxIqrOLSx2MWbiqpNh1qjMwZwRea7taIms1MuK2r5SuHXA8PhqAfDWsVsiEMGcyL
Dv119fg//0Lmr8/8D7aU5TfyTML6hMVUiwAHnpc/fic5sxQNdmq4aede7szEPiDCte+2b4S3SRIv
Wwktu1XZ0DfIzWfM6CwKu1lQbaeDfZhl8a41hXjkdMhOFgFmJ9vm/nGLLQuChjtlfHenbxl9yNCx
diiLi8OyNR2DyRsQhgj4DlFALuDGahE+wOtDUMOuf17X7A8w+V30Wlv7FZNCu1gnmX3x037by/jo
aPfRLO9zyL0HodCu8Sd7alkyrkGHswcwj5ET7npC51vH3MfUGnXzReXaQSPHbB4+teLkMDbA7Ggd
K8o1096n/uvQD29DnwKEVvjkq8k92N0rMHKgkgOwm3JngVrO22zitn9ExRC7yTXj9sGns/KEgk4W
HoWExkyMih9mi1jvKR+Ko2W5JKNaCAcjVqh5t60TT22XBG2EImucpIjgx8WaeBmks0XXPLkjWH1+
ZjZSsZNgVJdBK94czz8muVi5RXowMoGot6e8GLakcKJNL9Fmj6soa/l4+DG+va7q8V424pHvk22e
te87Jw/mcUC5DluDiaNRf0r3Zhb1uZi7II69FVSwZQd6rGzezMHb6Em+0uKnlDwerbmqyt06vvwY
KOFt+7Oeyve2/VaAX4qQvwBpvbXYYnz1EDfMq2H45p67jZmkRWHbX0m/qJ6QVLxHbq5dFEXG2sXr
qTG5vsPsK7tVxKNldiHL5dwuv0VWHZKZTV71Kh+qhKVvkf1oVSEfzTkqP3wrpu6yxPLSEL0UG6E8
uKP95Bq9+eKk5kA+d9R/JXELYI7lR4zEXR/8eqZHr3mVFvC0rTAwwoJiFvArLI9Q9PkTtzDLMqd1
110zayyVRnjq/BbO9CEale0LkSPgmOohusihis9Wb91E0zqPzTy4987Mf891/M8l+a8vSR7/xfz1
zy/JK1fjEk7zl2vx97/3+1BI/GYSGYgzEKU0gQYO7rzf5c3Wr3HRQlji2XP1P8qbHSY/xB6w/IM7
wTwWY8/fh0LiN4PLjFKP25aYU9P9d4ZCpKP9+V5Y0i0tomEhcBFG4LjmX4ZCs9ci11JJTtIDkc+F
+xG5ZGHFcZNfpa3Cc5yxHSXd44UwcAS8IFR3NSrOj8kW7iXxCKuZUE8kAviGrEZaXLpyu/BeIvzd
BIL4TFT6hVOggGGOqT08Do3Ig9G0Gqg6ffbUSkzXid80aCNt9EBMLFrnolpOBE/EQKAShuBD+Nhj
m3dAJW90Yq8CuviXSYbetlm8Dm4uzkh6nA83NjIWpewrSpNJtOfPlyyfuTXGDrELZpNgQFQDyXPc
ju1QcQp525kNJEKMPrfWdU51MBnuQsPU1qU/PtbSZuTif+eeDMYqP+c91rPWvONPOZVNFa3AnKxA
SP4URjwdNRku2qnUm3embJ5iPtsbAdFUAbNW7SY3fpkQjzjaeO4FH6bfVdY5UfyXYyu92gWANy0E
dIiiwBI9mjC9zHfx1H2jWZ+v4WvLmRO0NaBxMnCOtiGzK6qJV0eodVb3m8wmJy2365XhFT87Gx+m
72C4Qn88eQ7Qz+S5RvohKzrGxkXECL8y0Fk3rbU52Wuqf9RMMSAWaqeXPp7FwXJzUi3NaR2n5UZV
qFMnt47Y/UfyCaPQXVoDCVz0YlFrZ9tpUh7G7Ny+iV+ocTFjxwPLsFLou3Zeh5MDq4Y4oINWz1Ze
3q20tpF3W6y5k1yqJz0LZ+bzbVft8GBFt8m5+Ll4gXMLki5xioex0bQVQK1LpNs3icwsTZ23KFNX
sM5q1fVUcsnYnKOmPWjQp3X65DGC3jrFGyVUzFfVXpum+5kWTzqAbFpD39oLt8pWisndpjM29jSs
dGwiQe1b2iqcZmoQs76qQT+TbUzRADDE8zycYmoRViMUfDWzipGhxOI4OcvPTg61rgVNVukvQI7j
FXe3AE8ZmO0WETrqMm80djW850IYH3aosdo2/J9Z4l+sdA5sPUeWUz9YnceuI1mXqXlvZml8HfBg
65DU4o1NIsmT78AKCMGCB6ZChmBh27rN0hIPxjh329g35K7AFvitsuv+BJk77latEs5DVlvV0Qpb
dUrsxuNGqSWmqSI6aUSVHNhO9wfyaLK3xIKUuqJ3i8/SlPpBJlGzV6hgnlt3qnDndy3iYV19Jd0C
pFk9lg/SsYaD6xbZO32k+zTbuPYyPU0ZuxTOSTqlf8Ji43C3jeO2M4xFWTNPF0Qf+fPcxdMzpOL+
mOhV/pJTAG3rwUTF0FR+89ExU1rXhhyg9PriAtK2OlMdjI9oQq2rMOb+2IHu/WokWc9sr5xgfvus
qTMnPTTSF7e5KeUPQuy4OVsCer5jpGLEyzrZv8z9GF+w1I5nQeTCKQs9g4nIMOgPnjfp99Ea6iuA
Z+Ocp6V8Yfbgo8QWzZlHxT1b2qifqRW6NsDpzEo2r9ydkZnZlf4gQi3Yqcckk3rxL4p569eo/h+1
M4sCOD5ILrkFCJ706TP+XDunTBpLq52jgxdF2bWym3I4JO3QXmurQNsSAterjHEMlGn0a+KR5/WI
z3Ej4OtvEDC+4KTWtpmlat6CZFkztkYJOzXWtyzgW7TCcfS1C3tYUiCgxINT6Mmp0/MrgZfYmmt/
fmDGTU8fetlFwQEPeJJeRDiVQUOpv4d/la8Y/otAKvHcNChV+n7Mb04fQXgYVR8+VyMBfQRWKTZq
rTvXxVoW/MMBww9md45L9lQxYxNetRhsJog9cO6JeLTLrxDF63hNBVRuxGwUL4CEva/wwI5ENoLy
NwHEuhoU5a5YKawTFYm9q7pzizVkZ6xjOWlaFjnVKjc6fivrXk3dWVbNU0hABw5WvWMHIo4g76bV
zBiWfA400xbI35U7JmplSNwGsz2cwqY8uzGvfxwr1LVthG8uBjDUN9TijNODenSib3IQ47EYRnur
YXgDsEeQaKkS9gG+kW1dmSb3anaiddVH+bWfR3fnhzgW+5khdzCTHHQeqyVHs0/aM3Qt/9ILXb5I
PTLPUezU15TW914ajv4gUzgWK0gs3YnvejrDCI2xwHb+hZEMzzvzpva7G+FjCmjr5Q/818VqasJp
2yxvilreGW95e8zlPeqXNyprvf4ow8m6ploxPVZ1XJ9tveB+lu1wrZjTr2FctXjXc0wdFP0Q7Zc3
2F/eZX15q0M3LZ5x700XYXD7IN4emVBxDmDJ9E9qRk5S2SVqgrpYnoPae0IJn73jcRgO83KuzMsJ
Yy9njVhOnW45f+blJIqXM8nXKv2QohQ4F5HDkTVh733DvUOyfUrUZ9WN0SnrkO8PneN9JJmpTlWo
sS1xUvdB5iQ7LeCr/kQB4nxjCC13E7ZPpNKx88Cf1m59HTkrA1nlJo7BaGDwUYsGPmwIkWhnnwol
ZeLQbj0/zQyQ2W4ybom2Rm2LGt/JV0ZkNQqkhMyHa+Em3koXtcCdybR3Xps+ekE0vn6YHAsGYtUb
Ju6GvkykVQcawEq7fRk1Q3Q2aRuYmrax3QR95w09WuOCNISmjjHk6JGGy8STUkVrX001EqRZzNzX
QjBbaOxlsFYVSQm9t7NuljaYFy+axOOkYSPLfKvdNDhe7+3ciBR2S5jrOyJUsmyjNQau7pAVFF6C
ihXU4NT0hj4wzqBxZ6lt+jyjAmIsjETO5dj8Mmfgh1c05wZni0oSn0fMqA3QiJ15T7uaz6WoH91Q
zUDREoTjrapWnVnsW4CV28TtXrrh7OCmYKCqXwACVhcbDj+NmRauqFFlADwhXGEny+meFOk0fjSt
87IaA8yALO6G5B1/7bhVyfjNKKx65TUWeHFlPoR6PV7JrDFXTtt8xu4njhP/qEzWV46rTMYEXANW
WdsBcaQ7V5aInIx7glB1PWUe5hYARjJ3HdKFG33T17Z76pzJ2WdlCLosto4EDd3LtOfOiw3rrHH/
b/S5+pa1pbZ8R0iAVUUiiBwfuM5fZqOKfwp7lCQioYcas3I+JawqgmlkeWR4ulonRq1+svbnGYTV
XVnYjTo9gRwRE+v7q3P5T5/3f9fn/Y+7/8tHsSz//5s2j7/2e5tn/8ZeC6GZB+PPsMFi/O82j+kn
7R/ZmpCzfQfEzz92/+I31vAYaFF1ofpD9/ePNs/6DdgzEkid+eiCx/m3XKywhP/a5jlknRp4bH1U
1wbYjj8XDKJui0rTU3+fNHG+V6ipCWz2j3jyLNBaETRNEU3PKZEfOxs2xSqS8/SSt532BJ7mrYn8
+qLVHs7KMJ9OLi6VezvYhELkDF5mgzp+ZPloosNhkcxkP5BN+GqbXn6BqXVomxC2Y+/1pyxt7xp+
WiZCk/wUeDXRLScFG5PsIfFQGqAhwuWOglOhb697bk3aUazfbPqffUWLMYVdyBRJVRfOrEmu0T+x
9JIlCj5QFru4St29Vvi22CPAnJ7o6+SXuKp+pOjb3HXUWTVggDh5j02k+8AS97FtX5PCIZ5ZZulp
BEe9bi2b0AwbtSJb4bXdL2JTMbKw1cL8nhAIwyhQ7FXPPGfMDRI1YsTjc4NceahjpN4y/oIfkmjw
rqKZ0IoluaQd62AUFsryZrFF+Ci49T7aNiaXfcsjkgb0qNVdH5Pvo2ht6KQhKBmpcB0Y+kgz2Orv
uTGxTEJHNBDwRTwWROnoaRinVWeN2tPQu9njkDnaLhtFWKwrYrkfxeh6iLGjEVUHmizw8AZjJJrs
kTuMozQlAvlXhRovxWpoAmzpauDKgBKagY1qxgAzq2SkHRpO9lM1ZV2yDWeTnbBNrkKIfDUk5Fx6
mn8aSiTCndmEZLzhvpU7BGDDERdgjZnNn2tnPQjAMQGzkCEkg6vKcMrkNiaB2ppei2Iq/ou9M+ut
21jX9F9p9HXTKM4k0H2z5kGylkZLviFkSeZUHIosjr++Hzo+O0720CfAuTgbaCABkjiS5bW4qr7h
fZ+3XwVh67OQ8xVbqp6gkhDw1RRetE+ztyqUE5PuEfouxyUmFUFGX5Y+s0BurmetHdbkKPHTdWxG
dIgAT82NRqKHBVLSPNUNzM6w7G9cx27N2ynXAc6SrCUnBBqG9LeDY1Lwhg2F812GujM5+MSXqxNP
mB2vyXeI5w0likWKx1B+r+q0OPukxcZbPdVNveduRP6WoY056R8OjMFsFuvLEN5CDDkGuSDfBgje
KibBTAtdEGFiC2oxn5rc/gyX41m2/mXMllyPVFhUvs0h0TTJbiOuJZFHq8qu7vql7a6d+45Aq8l0
ps/p0sYWxJIMnbrKYmKL8uroJRBwmXCUCySTyNe1bireMmsATFVMxTEWuX1JJ9v44HHeVGDW0SFc
LA3tgujrWyEUucTDuGJXIXZhgd6EP+p3e74tSNRuA74GBvBzYVjZbSvEsfaSdDM06BMw2zmMcDKP
5hXNTipzcgCMiKlHewm8CQH+hL5xaJg/uEF8wJUlmY8mD4XdJ/s89zMuQjs+qMVv7XkFUbyTQaB6
UbXraZ4FGovKeHUcPKDK30MUTVgoV8OqJ2LmUAaCUXtlb3yHoCmmSpiUI7OsrkWaeV/DKb4n7yXd
pPhJ9kNEjGHfZbvcIavdtH297rrIf5udmXLInLZmMLZXlpWBukO+nRDZduxd/56j7zrOkELbarJO
eQqKtnC3Uyblzpksb69CFByIFvbsP94lCHV2F9NHnEc3djJUOIjgcDktbknEUR+DDvJv3Rx//2UK
+Q9WUNaPbc4f+0N2KqDJLWEDlQOf8MfjvqxH+ISpGR6MGNpsUkDPCWfJjj4ea/cmQbaZro25c2v0
XHl7LaoxfQbnw4wBDzVrksJD9EQ17fGp8ypG4plVd+E2HvNm4rlMA8oYMyczKu3z6alqSvOtnyI+
z2YzgAxiqOKrFaM3zJJYrtBsjXXTn3IzYdOT4IRtjo3pcliUdXSmSuwhgv04TXC4cbKoH6cMdk55
HgtW2cdOT75FoczyIGmakr5NOMYOrUB2pzODEZRUwj82CoNUszRdVoQG19LxDoNadyWjdjeEqIO7
NOXdhNUlnGQ4u0AQMP4mZ5Rj2RaC4bjOrTAhTDMO11YZwvShO5yXNjHjOLvyysjdK0WMbojLhqYg
bVFWRHs6butkd77+MNF3P1KuV1tlg27Z5q0CVdnmcGD2GQlNHV6VFFssg65044ms4elmYUp/U5tZ
fp9OrTmcJ8XSQ2YDvTNxgUCoQJKwiSo2YRhjKFt6bxYOTDJox9Oqyc5TbDqXziG2DddYXL5wKLRo
pv155xKiCKkNTCdvqMpu+prolFi7HVjO7LaRlXXyRFpuKow55jWzwBxP61Ja6t/KTE36y1WBpPGc
0CrckPFn7H2kS4jze2MPz0ZfIgPtbOXH8VukUj6tY6q6r5PL6YUh0rphp4HAmhntpjLNb46MzIMY
24L5rIt8zyqai2TWsEpday8LqLp0CiduuwadnNHTjUJS9sYGImjSQtmzNikNCb7y6arW7nMSz+OW
V+6LJO6HbNY04k8SsogLkn5l1eZDEeqKNJbx0DhLVJ+EIj7a77Ewh52njDdie9AllY65rxN9sgFT
JiZRj5Z5bovoSxTbm0AlR7g33xA1wJ4IP4u+Z6rZde5unLv3IhnNz7CIPlBjIf3oamdj+qLZBaMR
HACXv7pB256SZRPVennyPoXhcOq9oL0tsJcc2xalU1anwaoo8mDf9+0bxSKrR9d+7x2mvAYqlTWK
NvJdzTQ9O5nxMhNCsy8mYX4uVXiN+Wpa26RvbcvSmDa2b1Y7W9fRWnUIWnq3gQ5Sdyhr8CKHvNk5
KVdbHTD6hClV1a2+nmuzQVEzTXvfqZlOjtY9VrfxWppmCmDHYlZiTiSztiYJXfCUbgmRbaEmxVs7
7NOjsUiTYmYMkqAon81o6FoD8nDpfBAJip+iM+vvKKfBrudetXO6uWKDCQjVLqzFbeHGm8zOs70a
xowbdnFoAMLErOGNk/XF/2Hh6BvcHKmbasyIjsAhlmbZ9+SH+aOI8IVlXawXpM/Y1nujwYa8hSdR
oIzijm6W2zr/cXHXPy5xAoe40G0fo+4h+HHR9z8u/flHAVDHEcXA+KMwcH4UCd5SLzAc0v+/2/oo
Ndy//0e35TskPaDqYOfl8Q8Wu+dfrrbNq379H799n8+vxcf/+Z9Xr++vefJr3/UPv8FvLViAlsRC
Qe2ZcPcXVcnfWjDf+uTaIAvZcsFHJsjnbx2Y7X+CPxdgDQFp8rM5+7losxc1tx+AzrDtENEEFMS/
IEAJFiLRLwIMg6bQB8DO33+8ih2pYV7kmtjLwS92HT88RWJNOtSaibfqV3ZYzmffKIN9B0+IqZnr
nyorSLpV7+ns81DPLMXLYHKLjT/K5sk1oo5EnmB6qrMidNZgDUmWbYgLkat0UOEdS6z21s+FM8Kl
LDBd2P5cpWpVxzGoyro3UVyA/WOnv7DXvnFOG/Wxx1Vx3VqufZKjObz20VR+q5McTGfjZPW+Kkrm
UiTNhHxM+xZnCExm72szYYVZ2VU4TvtJaHgulpS9OjLwiIzF/+9AD+CEVqcs8NLbsfZdQtLmRj24
zG/uO7JQoLl1dANsub0Xa8qLyziak7EeeyvvoQhSA+ysCVwMq/ZEvChCzYiftw1WKyFD8LuxTDFv
kY7bv2WuMZ7CrHBOJkX5nbvk6Kggte4tN+u+0O64l4KMmju/yL29oZ3wgIpy3vdiLLdYP/3oqnc9
m3oFzp0dY9+3vMEIdshPEJ/GVpe8gbDnfTRki0lNWl4PwzIf5nNtePb3gSn1PR7n+SMdioJQy7hW
L1Qzzk3YTZm5TdoM6FzhZPGj78ierShSjEuC+eYzUzI04WTBYSLr4qnf5zJl2pfF/fAIYNB4YmAK
GwjJq3gMCF2kavBAi2xTQ7Km8BLrW2YOak+6Lbs/S8M5GkXcXhAIGjiRsNf726KOwjNHrb7iysNs
p2wkEn6mUvBt+PfoBM1Sfy2c3IAn4XTtR1xE44NL6DhuSkezlQy0Eax9zN3XSHpRZaPplXKjQweZ
MIG04Q1+X6lohbJyXLsLcRuBLdHq1wORjNQfpKM6W3APhr0Dd+d/AKCLnE0iFdy9OivreYueHXWm
ERYZqXRuU3+dHZk8i8VO5RXpWN4U7kjjx6eGDsIbZDHAjfE7BqVRM3brFN4Fr1/PdndNjVeyt3Sn
5M5lW9Dw6nvxc9Ha0fc0q/3p1EgLEFDk6QOuu858Q2UkCoYWntnv7SIixYzfS5P32NhJdSHg1rzq
QvwBq0hKmoFhaN86LxkZkNZduRFpwb+3VmtcmUaK87HvuvCrU81zdtFJ78HEGSP3mA1T8ah07LxP
wAdfRpqCgHzgyK83ZVoQiyoQiGXCyJ31gh861gkzyFWSMXcmVBCZ5watjGSEXOWaUUMYd7spXBLk
k3kKPsK+8VDNtCGiUl+6rLpH7d+KLmqPVPQt+URFN95D8W6/hY3bfsmyRHzGWU6Z2LWaezkZsRLW
TdjfgmBpv+Aad1c0sNV5nk0FsBQN6nYMssU60Ec9oSGhxt5WJQvpu5S8FmyGUfBnfQ3ZpM3PpZm7
yRbENCivjMXNsdQxsA0zshn68FQOKymGCn+4y4q0z3xv67VV/0afghXPzAAVrLFb6GuZy+nOQ/LK
4jUi4xuSxzTuF57M3qylOOIkGUhs5218IRJ8ftdGi6nC0mK6FjgprzvgXNchdB+2pZDn74aiTu/7
3mCALHvPPIqBvB4HE8FdGgz9TRtbnmYNVcJ9rLryuaoSf9vPQ7JrGck8sGcuUzauMVnn+SCnFVmr
ACa0YC2AlCD7WqZDdZPJxsWNsIRZh+N4RAk/v3eTjYtigiNq0uhWtr/C8sB7j+QrYeQxxPULwsH8
xTdjC+k3mP9qTZhMs+IM14+8O2O/EhT7NyxzMGJK9Nknwx2HdjUErR3uqwAea5QazJ9Faw81z2pW
fUOu7D1op+MhVKLD3hoPKvsKJKp+xsoDK0upppJo4Rzt7kjjthK8HGTzrrTfzClGAVE/tRntyZ0V
VATH6snm0GEFrza2gdTtnGSTGDY9L/8MA2HJpPfqCVuOJQfbOTZiau2bWtXNNcQiBFVDGU5k8sZk
iTeKcPMxiZPvidFUm7oV6UNsNa1cAd7lukHtjrJERVmypsL3t7AX0BPEFJoHB5k6woUK3IbTK/br
Nt3nqRt6IFFuLwsaoEpXnzExYPLF48C0IYjGy1Ar+OIGBpR9TwTQ0WTHyQa0k84aCpM77pRtZ1d2
Yxru2qq0je3ETvY95IRuZPySVASDr5q2n6+mrK5ZfhTICIVymKYqr8iwm+flVkj7PIzpgE5R0ttD
B+vVbV357RdbBsNJE3VprwmUcVE75KwrVtUgUiaTfnXiY+NWXwqipAn51e3B94K9bsFbriZTvsig
Cdk4FNQPAD7wgZahPCX2gHzFzBpFFEIbuWLFsVNyDrnGvjHvSHK7tUz2N4Ho53fJbcBFneoHWcrg
jON6RPwQBWunbPVdGXX9d4fLZ49A2z7ZIYIa2unNzKDzMA9MZSzdto/26NqHIHd9ProSU5QOTPBO
aQhhAexdeOlM04bqNXTMRBk+nsxIF1tvSjvoJyZqNxtxEeKfNBuvWPNoNnekD4V9lF9Ll4N8YZ4p
IqvHuJrWaHMMtOieGeXrpDdMEtOnMINIovLjnLbVHbJReRp51K6CQGfnOUydc5d06AGZ6LfPWHvD
TeuWwRsobqtEQeSoG6eQwR1eCR/njgaE7NRRtGLyab1jp7c2EXysW5UxkVXEzTrbImdbLFxdP4pS
gGrvePsraAnPRZL7i5QJcjWo71isTD/zP5d56L3h9XLFtgmZ+HiNrr/qJkSoqZV+UBaaxTE264vH
8ui6bDKG2kOe4XV1W39rV36yH1yRkqcna1tTc1n+V5CBbJ4rMKqPnrPsAN2hiD+iRCU3RWQgIupq
n6FBwacQmZI2uUCrrnvpncnf+j1LVYOYIsEBEMUvPiAVtYrTnmxHLzG+5ig/U0bV2YjBIPP2SVD7
8Ns8+xSOQ/6dn7e5MMaavoVzR8rqXE8t5VmKxAV8SqCZyg8sAbJ2cLONHTNbW3nuNN0GcRPsfDSo
T0y8vJ2vyuKVfAlKjbrNB0YMbTToFVHyZbO2lB3veauGKzOONadDGjW3aWMzK65qj3UAWX6cVFY1
aokkKWnSk58ZXbXvdNNER9ozEbOVHD25k2Zifm7r2vli+QOWXasV+bTDx9QjVAO5SzaghW8mjX1k
YYRjtXrTD2GDQQoZrb3uLIUeNpqG5mXQaZNtSDgR1TqdZXSdoshDJKE9FnZmGc7rykr1a0wMvbUa
iPW5y3uf15+VuYMVosg69iGFfHKcRN2xB2iJ86MfussmJ9z0Zh+vDUv455S95405duIjhd0mEdq2
pbXl3iWH2LcgqyBja9x7jPtpAiCZkmA1NG1S4kEhumhjGrQwl8At+mg39K5z8KVVVUijnJpdCn5p
mzQJqRcafgvtinchjtdjWPl7j2S1OymtWm3mcAjmVRVK53tWGCF6v9AwH0PXmF7TwBDvQSC7Dp7T
zE0OUlgDdhkzLB2qUzBEZZbVW9nqZEHMxd+tuErv9Iw5fAprM91RY85EKgfpdvar5rYLSqKX/IYj
qsSEvpuo2rKNM+IwgipCdrvo8oDJbxu9hoOy7kRJibGl6g0NEMehK7cjYtgFqiGN72x3Zmq0rjmG
M3/w1dyramdE5bhtfJuPicO9DBBsRLWnMlG92qGqrUvWx3IL8RD4XW2Nl0pI9GNlXQ1gAOoG2w9P
lUXwn0oukcydo80E4SYHpdSsyE6CCSJ7S6HzsxdXmc+3jB8hFfMzYeSsn2o2Lu1GocD+Xkkwf40t
J1CdAsGfjBRu2QwUu98x2msa8oM1qu4tBEO0hJGgAgTpguMqhrS07WZMXQj3c3flirh+TaTRnHPy
FijwzZmMQY10bHLYpe/xgfnjNcsQA7FFz3cJkha/v8/SgaudBMa9trvoxPK7eZtkSNE8o/y74+YG
22SDvTjDDSjRSwj057A27L0wWqBPChOczx2yjRtyLTwrycl8y/z56GRJtsIj123DyuhX3dR2EPa1
c3JsSzxTB0DYz8OSwJgUW5OrZbUiMnlGmY6+DmgDoLQxyzv8vh3xS4UtoalHCipOqUR664tZbs0a
LNDKJYXyLAqLcsrNo63lRd+oU8O94DO5rTrdbvFzxV+tptDfJpgy0APQYpNyZeVf47byb+PZbNHo
OEV2wkov97NRFIgS9fiAhfcyJRrhmABS5aYNn0trROMXee54ClQ/HJxaxmfPq3Nedy/FpwfrAK54
6u6rXFhfVDMz567Sylsq9MLeJULgQSSmCQaujjOq2TwV31yOmENKWYpYhJSTa6CeS3wtzryuIcyI
gVma6U1sz/II6YciWhRp9YDOMthRwnkXD6rFvTNX9hE/rHGpWixog1e1GAwz9qLKqDFfcfJaRyJk
gq0/9skDH70I0g0h0esg6mqOxzjldOn6MIUby+y4JI0KLWDiXXoHqMxKBQEGXNsT+bVr2N0hSRP7
c4oyPmC2l4HWkSqeNq5A6piIzj9GRTwB++gyfT9ZMn3EDtBfQiN23/jsmhczacIP1SbtDmBHBGfT
mvCkGezYvli6oqo38+zoKi/D2wY1Hd0Gs4xCc16lXWcx4Q8K6Alll2y6sij2AC5BxoGbOVq1V29Y
NYxnQ/KHzX2+yYq5naJkjSu4TNLuvjRcdQm/m5I7IUy+JyPK+8gCt6aTDjP21NUWoj1oNuBTCayH
czNeVyAhFn74QBQ9ns/ywSzMbOc5PXnWjvXdpxnkVmZf0m7GztBXkzP6T8v1ue3zPCjv5OgMTx6X
Mu/lrKpgBz9Wv+fOOK3/F825rKPSlgd7wmagZTOOG+Fl8OjmKUGiyJXSbSRu6Z+5zv/Vwo5/L1zD
IrFH4vDPpfnXH3GCNn96/XV4iPHt5xf+FG1Yn3xWEejoTfQXcBH4lr9p84PwE8YkMnPQvfo/f+U/
gA3eJ7xkxHcQJuvZPiPt30Ub7idhCddEu48qk4HiXxoZWsss9JeR4QJsEItfSzCYdPhmzp+2eDhQ
NTe77x2asHGovlXOnUUW1tjAa0iT9zGX8kQVOdZHurzu3jGnIN56g5nNO3JV7EeVIewvteexA/Zy
hk5FarCecwc9qj3DMPtxWbdfR8MgbgrDcPXFdkv8mz4BbAwtHCcLD9CKAhL2pkDVV8KoxiOMR6jF
bsykPYg0kmDXZ29IbtGyQTWNh9Ds1Dno/O6ZQDTJdRGEW05YWqQyuBMso0D8MPSa2B6GBBKQwdj2
zRtnfz2s8c4XCsVaHF8Jhkp61YBAu3KTtpabwUFG2naSnJZZFgefudyNslLrELnBuInd2T7AjkOF
4gCkYh8yxrA8J+92SOzwIajCYD+Y+QDxUIbrbGJEx9hXbGk0a9T/IRqUxEOHgtPtqa+CoYOLx7xy
pWgyTGSGFOl1OhVbRrO2YC8cpVjmy6G/VSxTJrpSlkBXKtXQJaOg7wnkHSQr7LBUMLZbhAX1Jjbw
OYODBCCzi82J45t2yTBvZ9MNp5smBslzazoCnRgpXFFzyDOD6japA3M+dkJ72SniIqGgyyKz33ad
5847tubymfmUcm+DooE9bM4o1CEAEH6A4t3Kp5U9t323i7y23/taJO+iqmN/XdRFuC+bznxyIwpg
Mi7ieAnO+x6CEu04OS9WGVhXVTPVqF+FcTCwzT37HrnIiYguw1iyGVaDppIfC9TrzbBhxpfeIpZF
RCxksaoIwKPEcsWwb+kv3+2i9w8VcJ10nwLSNDeyEmqTY8tnGpxF0JF9PPObItXBvTSN6WogZwmV
SQo7u+X41rTFG6xUjAfgCewJjKlOwkegQ+5nvBVpcEJ5i15kNueHqEzNHcWge/LgMTBDM/ZpaQJh
Drp1XrXt/eRkBNqaXntjoBbZDbQk3NhEN60cyVR7tUx9CjhM/Pd9hcv6CisOu8gM28oEPeCqUWxL
abud9IGntTsDIDJJFrTwwJNClGbHKc4ZwVTMF/CMQDeq4+7IQDe/CVmevmjeW4QgVQRrNrZGgCTT
MI5EehrDsEEvXbIT9J/GNC1u1VTtQanKrQrF/FRkpN67ljFsm8Cv74sublEqdhmvezbtvSxWL34I
PwJYXXdd6+mDPpBapJ6sAqJTpA+5kXGnEemRP9fG4N0PFUwqRM25/7WeNDwlUXjOcZC9gaVj7ECm
YIv3DKvbunSXO6EatZ9Df4DO7Mp1YRJCIEeAhw5o54MMjRMzN48TphivPVd0z5Focdi3sbzEoa1O
LbPeE4uBEC6rgp829JH+LcXmv/rCu07fGuY13/X/Xr7z34I1fux4fv+3f7trcYkj++fX4ua1eC1/
2Lopo/7+aly++LerkZVZaFpcmL7jIkP85Wr0xSeuxF+M3qzZ/uNqFJ/4FT4IbNqITAxCvt3Pbdpi
9PZYpIUu7mjTxdL2V7ZpIcLIX2/GJazPpiollhHpJOs7fqNfvcN1Y6jBKU0HCHj6vfO9z37j7msv
fMgijiugiFs54TzrQbiksXWLwv4FzfieqXwyYLw1jfgMu4LizduTWb0zDWObXRHSfNIDURA+7P6o
v04G8aTgrueLkGR29yyuGAiuqwT7qazPZrP2umDHkmibqfJKZs3BUfKYe/at17if2SXtB+XcOpFJ
4unK8uJvsAd3Ux2SeqzuA6O+nwGcR1y3ToJMoRArqb/N8n6KyR4q5r07MjZxhmu/Do6YA67M2vlc
OkxpbFIxdXnh47WtpwnhBANBrMEImR/mCTFTEDkP7DsOzZAxHnII004WDJ7bHOYIFxMCxlsd+wcb
yDRM/H4ZTj2IoHnOHF4yJrt7O/KO0AW3aCHfDI0vDuebwwn0y5P3D1RKf45W+e1N9AU2q4DnjHj2
P76JE4l1bUJexVYqshW4Twr4xIynb5gf3fgNfWGSQAqa/a1BRd7zzvzrH+DH6vV3lRRPNmMs4XvC
cxd7JjrbP/4A2E0oC6w02rL1n2vctEHX7EaBkL+fXBfWkXXjRCwLu2i+EFrw1JepfQXHwDgWHlY8
f/Ux2brZzR46DfAd6c43o2IbVfMVi9pDpxb3U4B0UkCpKWZc5o4ri82+HJCtA21qsWTI7WCHyGbg
8lVV5DIitc9qbAD5UVRt2Sm9TUM0rYZxvu0YPs4tNiM+e19sZZ2hVV0HWXcuVaJOFWOI84/X5y8d
pP+5U/Kf/l9/OFr/22QW0QQ4/5J+sU5w9aZwL/6gPfitfVi+8ucZ6X0KAoGlFrQo6kxvobr9JF54
n4C8WUJ4lO+/RRr9PCJtjsgQoi0mNXy3IN946H8ekfwS6nAaDg/eC4Yd8lj/guDA/KPeYLEbYxJD
LxTyUwjH+bOxt0s8vxDFUhQMjXosyHh9VqyWrgPQ+ijawmZ80Yb4FuVm84FFovw6dO209vok6bZO
O1QMjqtm62M5em7Mvjr1RR1vzCCV766Muy9//VF7qAr++pe38T99zv5wg/873dncX4HFe/XLyfV3
Kph1krxqnbZ/9zz+/sU/FTDOJ0cIMi+4HXn3xe9ec7QxxGstPgRUfGIhrfx+aTufTMFNv7BRBHnl
C8/k5xNp+pgaeIoCzzH5Uh9kzF94InnO/3Rre4Hr8yCGVmCFlAJ/Jn6gz+9z/h651qrE2pGt1ayJ
lbIABiGCQRVWz222JfOTNqmPI+zavr/ELjgj2xm2QJq059CzrkoaOfD7LLNWHWNaanNf3ufpYDy4
C4YhHqv+4hVlcm4KX6Cxd/1i3wK13fo21UFbtsl7bwdMxkKuy4SkXjs5RGwPnsjjlYQRkOt9js3S
QW2K9HZtcgLfemNVWJCM7uPOntazcSAjsQtWVo/6t2OhdU4CesiRWsXaIXllCRuNsdZrX07GsC+t
QaHWnJDldXIW95Gbymd7HOP7yqpKtKC4EWCPxdeTJBUZ5UQ/f0Nw6AI0d3zygyBTDtZANqCZH93M
YobHWNmD223mOA4lZNGxbYGlzHm2LQ1endIazzERSluzSCz85Q2dIYhAXBjkAM6VZ34L0gCuXVl1
oNZ1kOZXiGzybwOL9hGWhgzf48qIHy1angWyG0b4Pn1UTpvY6ssN2y0oVHburISNpjbLYuuU8QZA
laycNa1qfx6r5mlKcSlvfGtMwQ+3CENkVrJOmUdVbhNnzu2NzazluvOG7DUtneJDWBE0vKafaoNd
RQ8kTYQTcTEhl2XttgAxgGuTc4sCNx7XXhnrFV31sr8mRgHC7BASv1DWL0kbtXpdEIULc3ZMK4UI
yiIZg13CM+0b2UO2sJKD3fL7mJNd9pu8GYJwncdgLElPa0DKVxHr1ioh7feAQ6J7h2SHCMBmC0VC
hBHu/Y71FnEV3oQAoqtY19hBziaEx/pRMwa/5GnmXEVe1z4kZVK9xsJmZu5plJtn6i8b4k4w1m+q
cKeXNkQVsAGtnzIyyNC+mB3a6NVsem6+z7KyuTcZSV0cxyShcq6H8Cqjjb0UiVJqFZSJaa3DMWhu
GSGMT62DchT8mTA+CJZ1YayZZvPs+HnxzSMYcR+MlF4g2MLhoS1LGyC0LrAzNhp27QHSAXPa3khK
yJjQDAdpwYRkXgSJfBieQm+o71DGzEcbcx2f21wdsE0aPVtUD0WFAF6xUbE7KtYZVv4t5sO1fGlE
UeU0UqoDq82s2TroYNHTp3jS2VRjeXTkKL7EWC2el4592gpIPIsVljcw6Cp+ansKXIZfSsRIn/Ha
rHyFf2BmwkxqlvcRSWt+GeJxa5IXgkLCfqv6EKCPyLPmm+uziUNU44wvI3ajjeoSqDBGOzxAIKyv
ksCODjn2rVNZSLQkLtuBNRwMeu5pbL/MrQ+2Mm41SpdgqLAuaQJpxIxMBOhEvWaSzqIDrzFa/yA6
kCcKjX2a0aHKmrKV9SAqAni9iiTm2fKjp9BC4l1q/N2o30JvbZgUeqtJN7VaM4dQm2QuHRQAcyrM
dTGMRbW1INEVjKhU+sGyN3mc/SQ5C4SF8VZpm5gvw7GGZ4MPirmjZyH+OFeqeynsLGn4iCA6WOXp
zEd7Llx1qSe02jtypJBFF3M9skasNYoPl4OFuVL3Wal8IuOzrKqjLtr2uV2QiFin3/OizxAUN5zT
vZQIw8N8odh1BqJe2FaPQlsZybzWjKEkGfsvThQ3V2wZkhcTpznTQLeYt50FepIHFr/kmppfoPhX
s//WQnc+xPQcQqVOvQ5Kqg6uEjypcSbVu2PE+DuR+OIYL/UwXLMoiPHvuvHkMmHLiI9nZxUka1TO
FaJq9gL+AelCEqB0jFkC5CJsPyanBfUzjD46CTbYsdMXh6Zo1CnyUiRmvFKLVQh91qYYZK73Vmu3
yQHli7VzUk+TMDKXOOQJKWRPY0rPxQDX2aCQsCPhGuPRVN/HYQoQckK4Ntu2JWNhHjmcQlneI39b
gOT4EDZyUOol9VvhYGENgltdN9YTI7CID53KrSuRVNZj2PTqmaz14BRkkuV14msD2G0do6kh9vjG
wzD8qCZM1hwbHo+PTwyPTZNpgqdu0/568jWSGGd04ifmsoJUP3jZ34USZnDmJ0xsuKtkaqySYApe
9AhyhAvKaq/53LrFIXIsWE3N4HoPnE3NVV+EKFKjytrB9fI3Y2SByhqNBva5NFIDnc4szZ2hqhSu
SeR/mTKBygt+6k2ehWLNmJKssaFKLzSD5TqZTZO+yqvwUiTqqcOT9FiHdr0xyU6rhW8/aGISLsi/
YInmmX1QbiEelKiMDyuriNWyUGVuapu9GLBIIJEJebEPhYj9i1+lD1UljEtUTdEmhziuVuSj5Bcj
wyMfOzU4+AEGGFywkCCNbSrKclppXrZkPfnZAj6T8B94EqRdswQvI5gSXYzN389BEszVQCoc6F0d
Uzr0cpjfZAJO3AB23KzLrkpuKk+2V0VNvFY9eOlX8sReKKDn/diF4z5KUYv5qBpfo26CMBkM+V1A
1NgeluV8IMml3CnQzAjvA8vYlgM2iKlLCAtEPGI1175bFF9l0mOdCkxrhJMlc2ACZSMY/MXIgtct
PtUjrDL0JjPwrNJoEjyLotnqheJZ+DFUnRyDFkoxx947HECoGYr+weVquSUkEL9bO5DuSXoVzMkK
S8brbGbDNUKzKNtyIiQohqPkcyx66144XX0xSefq2cDBKoB7690j153UWjpLGERrW/ssGIPP0yxi
fS7BdKWrUCTy2suITq6nMHrppjy/07RH3xsl0cbxDOQVs5aaXaepcmzR5tQYNTbVrpSXdPy/7J3J
cttalrVfxZGDmsEBHDQHiIqqiGJPipKoxpLsCYK2ZPR9j6f/P1DyTcvp22Qqo34PSrN7bYMEBByc
vfda3zLSaGbCIOH9neDLLqs6IGjRyIZ7MZI4DNA+P0R5inbaqGTBYLPS9KPVsmlGEOD5d5ZR+eWq
owOgYO4ELmx4IfY+/Hk4euj9EhgaNEO3RZ5ZZTCmQ+u+VXgiSSNpr6VXFOs6SrTLTviimNdmhSuV
mSARHKn01lYS1x+9IcquSvA3Dpi4Jtg1hVqcWX7EszoiD9nLQR/2JT30dq6Al7hiA4tHtHBa/8HX
auAncdcyGCUEVb9Vw764JyYiPzhVCDfXKscLu7G8lshOw+gXZlHyGy3LAKnFkMjH7HkC7YvhQmnd
dOfkqYpA2AFwU3a1spSVtL6Mo11rC7s0hmNNaATGriRVlsaQt59DEYNGcvSqoTXu4xqGTHHVIjtt
ns+yMEizgC7TfnRaeauDV5x1JGHf83DqxqwI0vxgT+Rtv0g+mFF8TXoXA//Yq/ZO4oOGQ/vLDWjg
IkoTE025MuT1ItUZkc1c13LusaXwBnGRydNCMUh6Rgtj63eh5RZ7h/j4ayfLrGvCL/Jzipd4X3lD
/KDADg7nVlLZXwhR9NdAwwlL7y1pXkBAagkljOv+kx0M6rDLer0doO5pbbTzU6Ehr/a8ATWGaX5x
Y48whlSFLJWC349nXi4RIaMbcrDdeLBseXM9KVplPXmeWzbLNoygLSDXsMuFlfC7xtSsB2ItMif4
0DqVWClZHD6MijJeq05ChEcLbYN3m9/eaZHjX0sm6Bdp24yHMdDrJ/308i3dkPxxLDPsITz3evCH
6nOf2dW5TEm1LLv2TCs8z8Ld11pHH4V/j4PV9iFkuQ7aWWHBJW9HoV/aEUA/tfNIPvGDAWNtFU/h
TGpqRBGRpeG47duiYtEoMuzFuHDMB9XTCiTqRY0VSw1KsjxVNf9iKAUJh1lJVAR57VdB0hX3JcLc
x6qAYxHj674jTRSyQ8/wbeu06IpXWtdjPE3Q/pKLZYzKNkLhsRES0mVU6oM2Q6RNqhRFcoxAq272
yA6SfB1Zdo1rSCN0mJIg2FhlJzZ5rxbRrHZJ89NMn33o0IJ495s0zxd6PiHPQ+jR2pyIGH51CCR2
SRIC52tRbMQL4WrZoWIwsmkg37C7IdtwbapVuLHNFI8pTmFxTZKGsek0K/1sZ2Pyaaqyaz5BT+JF
Y+jKjdqUzYGIwPI+6qFARZqesFXlhT8HQD/Oc60y+ZNWZYuhiOysQp6NWNCDZA26InNRSGbhMcni
0t9gtvUuIS1zClGUS4PnIQyvGif5Wtb00nlcCBks4/CA2WECW8dNNi9H0zzz8J0h54ZfTayH61z3
IhyXhj0KA6hgY0WkrLRsSDI40rsqMG2xsEbDmGjUVr6p6kKdt2YaKJSmPoObWASJuSnril8N23g1
cYYzmDW0wnkjHQNGzhYeE7dyZ4QBkAOfahLSGGwjF5OdSd792NXhNMS1cN2VoWyp2SKU4orhn1UC
gnxJ2NdjYmvWaux7FMRsI5N8KZHx2XPAM8EWoVD1hBo+O/fKUyiB5zqkH+F2SMyppmAIHkNG5i0+
V22tvDQa6BqJVbsbobbppo1ktU2bwS9WXpr0d8wNhLpOQivbKkXr0t62A7Cb1hifwwUoxFYvS9hg
SLAICGplxxz2/5pZf8Xcpb30o+hE/v4E6kNNRCmmrh+xiX//ty+9LO29CiAC1JVAhjG1rH5rrsr3
psTFBWmYJqv8zsylvTeYPgEyNBDHO9akl/g2frLf8wcEWDyrOaZ/9U90siz5YydL02FyaSaWh6lB
Rsft9eTAd3H8I7kQa6zgSbyWwHRJJyaYgpJVmscKsfGVNrCZLvJInXvRSO8DIarFxtlgUexM2e2J
OA/IQWCHTGpyMffzD82Y4tVsAU3JyFz4FtMkyRb4sx809VYNA51BT+0pWJ/GlAcL9Dhhg0NiR3Nb
BuRzxAiv07oYLwWzHTzRRr0J04ZvwZzKnxEV2ENP7MBj5OWTR5NlXrObRZKXBKAaHc2+UOsm2HvM
F5aDCNnOyqZYJQLst1EnwbKqQxsTkQZp3h/LeUEA75p0OucxJBkomZkU7zCVXWOdDY16I6lyLqPc
Ktb8ZuQi0ftIImrvxh3BO2JBLVatxChTAs9R9wczXxDHZGt80c6Lw3Vig6GYee0QdXPfaPGNmI19
1cWht7CKHE+ObeSf1SQuLoyIdInR+lQ76jlGN4y+BnL1Id63rTwbzeHKV5pwjqvpALn2nJ1GuegN
Wa/0knmK5ZVbkrd6eP2KFWNmVZIciUjf1Qsff9BtTccU8FLcuuoCSOuVyMKzMuoxytiJsXCpIOi/
TAGHfjIwZKudkvDjtBHZkT3dQHBc6X5ywh7zz2jnB1ReLOKjUKzbGETBDvF3RQiQop4DPCanQ611
MkrtelJtTq0+K+nlpq0KuaHl3n5oGWFp+PjMKJn1IzZZXdH2zAGUbSbwM1d67dKAMwUiEwt5W5N2
8r6D4HGWCuK4IagBZiLHe1hCdg4eAwYDS5W7ckPzCdVjZvrpGgtS+qk1hXUpSTWbxZoafi7z7GNt
D/Kjg8p2zdY4uk7Yux0oJay7LOjiWY5Keg++Te6xPHiw+ix/UVb9HgmNt58Mdquy0JWNo3bRmpgK
ccULmhKgh40JnCTijjYjkmM1nI00szAC9Aad0jgiY5wkem0/QPDDaaOF8q6W7LjnlQM2KSuC4abH
KrfFEKMd2MQ1xtIz8/aomxgtmNwZ0KyqECLoWH/qErfbu9TuG/jg+m2l2orPAC7rAGKF5aeYrWU5
j8KxKuZtr5jFhaNGsJbdLsETh3u0msEgUZYRqt9i6XY2AdZ11AOpU/iY1LS6Q2tZyZ2RKWyXKoVf
RRH1wPIrj2nULG11jFT0duZ61QJ5DOHcK8Q8XrJcwO6KAhFchD6Fi43r7dDVY71vYQcdeNPTmhME
At44Y6btjKiuJjKOln3BZOtdqvWANVBooVi1ZUFudY8DfaZrUjkjvKCgytW6TOND0/BSEL1w7rZj
dKjKjuweF+NjHWskcttGv5GykxQ1Spdf2XnnXto4wvd+Qj+lzWuK7YqIjhWcaXaExCgEexG6BKNm
g7XX/Ko/U8mZX6u6wM+h5t25T5f1k5lTGbNfYycyF8OHHBOYMzfZ/N9qZSI+a2LM1m6HWgtlT3lj
Qq1YBAbd5SDWgjUsV54tzAXRBVrv7grnY3/FWBbXgJ2V9Tx3pKSyJz5H1hulUEuiZFofUKerbpzI
bHe1VIqDZjnJITCleVcoVnen0uB46hBbjzOQz0jHRlu5wWcuLttKmHeaW+D80fIO2mHH7pscvxBO
BMHBRarrX1MMe4AMuvzOzFRtoeR9eRf4DQw4TPj1LCaGdqnjl1+FgMMgmkf+Sq38DuiHVxHsWFIg
K4AKbwyZuCvfx1I5I6Zs2GZRqu+9JBjXQ2KZa9upbYQN5bjwtFDbhmXjPFDBy1VRieYat+aUtz75
HupOPgSdlqwTr/RXQNSKC2GBuoa3MCW2IzMzNJF8glHrfHLsJDk0Voulq1eoxUYGBxGsu2XSYrQg
MUSKLTu1YqkRPmfMzTjydxF7zh0tmAKuuV1ujVFLDjnY7TmRMF9E2dt04KtdjqF0LXmrJW72KdfH
Ak9RI6+9AhBP0g9b25febRHG7VNa4RQjlrdf1yUaaCAPotCwBo1Uikiwcx+5H3RQZdAtD2CNnu9z
qUxSdaJAygbgEQ4onkgVWpwZTtwEDJ+G/lAS72vSkj/XsnaTeLBsZOCd05YqNyzVS22gmE9CIPxO
ntABKRFuaH2c5gjwa8JmNUTj8S7S6wpSig0o2A+blAxjv+lXUR3GW+RV07loXrose2yLIEg+MU5j
ZW4yCV+u03ta9Sq49bIaB+oEMS5F0Zmr1Enaa7zKZrIE3+Zsei0HDQmGmd1878y68FpO5m6MmdWB
Rkz+OW/0CAmAyKdhULLrcy4P+EqTplaic8fmxjlSyMmj7NIlq9LhTOsmaT9mAKvtR5QFIn6gOn1k
185h3aPfy2rTJehZ7BSvASL72vDmhZm5W0czsnlvKPo1wvpmZ4SZekPKHKHfpUJWsC9TEFwEOTf6
DOe1sWCyoJFrFAhslKrytXdLa6cRmHTH81HspZ03G32chA5ekz0mddJubJGDQhL5yJzdRJXjp4dp
2jyBmMel1ybuDb+AhGsKJ2xWRABpbTHUDJ8L/0LzQCjyF3X67j2ADnXMDqQ/q3vgM8lDRwrTsiU0
WJ2rStvmq07Adca3ScvOgT7wNVF0fe6SbUL7IjKAFeoltlXP7oIldGTLWFtp4G9TI1Xo5UQenOne
IJkbwZtKEzm1iDJ30uya/UWQnseeovgLJSFWacYyMPe3aoXMciGKIuwu8XeWOxSUMUEEevCUsOIQ
YGxY3RwfK61n3Qo+6NShy5DtLikrmnZbyRZgsoB6z39LfZO4frDSQ0GsTRYgSXWmjrgtgg0+ALFs
JCMXunGXCjOmFIAgH1hty6zPFg2pMThmsJ7UbC0o4CNvXlZd/9gFff+1y8Uj9V/5Scbt0cpblY6Z
4WWXiPStTTM29WaUQTBPM73bS70Ee5yr7dloiHKRubQJZUXmehfzeqrUBj9gYd+KsYN+KroItIdi
L1zysxc+lhj0jXgszdhMV37VBGe4g7rLWnOVtZuBJqNVVuNq0ywIVNBDLZrDj4xyCMAoUWWl/qjz
a2iS28DMrPNAt72Dih15XY1tvVJCCGnQKK0bT06zhJRX5zwUY4hRvcaEJjBC7wZFtqtK0mQogVR/
1hgyL1FYuYckoD+DzVjOS5YoCJqhedFkQTRXYpccn0Lx8BLoICw7O3VojwS9uRxj6JNmRLtvLoJO
Ln1X9VdhLV2P3VWH+MfJjDNpl+1SK3tjk/SWduPWjr8sc5VcMYg4G3MwonU0dNodjbwMinSlbyKr
7bZB7GYHiW9YmzWYbZnNqErwgPek3hRdBP9N1+tFL+gMGEEqZ8SKGne86Ki4rdKmOggssTQ6O9oF
WmJvpFtDavXy9KudRva5VZnxhzZKE4J1UnVZgB7cjBHBn04xGCs0tuo2bXNtYUSuw6tmwMLFbmBy
R6T9vlLrK7ohK/ap4K7lGCJTK+8VN1sgtfMv2kH5CMYWp62XQeVOESxZNj7OIKNoyS1ZzXOh9ruc
BIpl6cIHn/VG0KFgYtpCEQ+JgBuDjlpSx921GjFRUI3RXGDEcTkDxjGEf7m77yrLnyjMxD8ovH6s
035QeCmkS4W4a/0Ncz5mZLoZLZTWkQyJ7WAFFyJbEM2kfCgc0d/amuY8DHabXwp/9M7sQRQf3QBi
joEenPgxU3hrvxny2153xpVqKoiXZcScqHSUQ9qWOKcn3ETEhnYK4nIMthKKK4IHg+A9hU1N2s5d
UadrhgLGkv71mW0HyhfPyryFrvTZpRLG1Qbmz11TVIRb1bm5dKEEP4imgTSqmZAOCgeg0zTWTCPT
vDDiCPWtqZfmIgHOCOxayk/s1L21KfAV07A/Zq15aGqsAexQZuStRmCkBDae0R+u2ibdk2M67oF4
SXbgZN0yvy1px0aogCx0veXIsu2V5qOoC1pQijENRoeETeESM252P4okJho8sCOWWN9q966Uw9Zn
cq8zChDWVZZVOOrjMURNzHIANzgSTyZKtsfcHVsQhQrYvdoX19kYIYojH2U2oohUl9nQWmdG3Sgb
UxBeVoVjVsyFDZievEi1f2qr/qHyx4IhphmsjDKJV2aP24eMdSb+DA1mOvZ1nA2m3cL1L2s5a0zG
VE3W4hjTxuByjFLe0PR+dy716yEgfQ44GDHE1zzozrbH/boVeLe3I4MKgk6G6iuYKLaCSdf1t37S
magd2C90c7tIGznHqZztxbTPbk9b7vi0/RbTTpy3MJtyoC8VWIJCYEkK8WKpne9f6tNOHi4Ha5M9
7e+1006f9EW6r9P+HwJJvXemmiCaqgMMhcFFg/+QUC1PsS+rsNNWeeZUt8lUYJSnWgONPr+gcipB
9FM10kyFCb207pCcqhV3Kly60udlbXVibvuDA/KEQOml56O6dE4lj30qfzScmvmmLmQPR9fSdn1p
IrE3crKqy4gbFwdHSHCKJo9MGIDMARCdibStDwYixvVgE+TAIka9NRbjTV4amCCV/FoRQbDJFS6Y
TljSNQp5Y54F7JSVoULpk7EV3smebPbWp0gzShfCUxM2+LRstmGYG2tn7sPxusf3YM4blHYHx+7k
XcHvYJipU8kYTcUj6U7UkSgAonM/qukUUGQamNnm3anytE5VqDMVpDlC9nUxFanNVK4i2cfNQQWb
T6VsMBW1yVTe8iWnQpeSt5yKX9yh7aQ0Yno3lcam4tkfcZh/7BnSfLamArqZSulxKqrTqbwmh5pK
e5yKbn8qv52pEB9ONXk8lefJVKhjKBFn9VS891MZX58q+nIq7tOpzMdUr2xDFunEBRFe46dMZs2p
MxBNTYJmaheYU+NA1I2z+OMV1fhReK0ZQnUMzaKFOgEGT5zZ74K0KgfRDyHjynqobWOX0r2thWsv
zUFxlkKwT0f5ZR5UYxIc4FESczNozHUrpPaxAlCdzktgcY9D23S7JDaGM8XWqoNNN++BjUF2p9v5
vgnSatmozpizeequMXYSR0eoVsTvNNSnFIYh2hD+iavTrUPG0JanyF1lY8FZ1gPfSndEy87KHdNj
CZe64J1j4SQdp4UsOq1pJMOyvo2ntc44rXv+tAQ602L4xxfsROL/XmP8/AZiMy2mNpc0fxA5OyWj
KRyA9hp90M34oD8UR+WhuO4uqivCPNJLJb744080fkD9QtiCdUXImWYYDkul/OETOxosNMcDd43E
xv2MsRbIORCn4SLqg1HM2UnnZ+VQ4NLQvMj/rJljvYQVG33Fh9Trs2EI3FUKq4bfpWRHvRxdnXe4
yHKprkcCrO+rOrduIR7zqrPSDOptZGA0JlRsKDd9kRV78iiinQWQcMtOhvWJdsrMknD5+xHOHdtP
mg1JuIoNuDIDYNwzOzPHT4jA3G0Fl3PbFqa9rodY+ZAEXblHChVdMeXyzkQMZeSMnn1+4zvWiH0k
CIkJ7vpuEYIkuDM8fVq/EhH/L+tTf0Ud9EvH/Q9tlDv/WP5ur55/+dKrl+8dkNIIHn4UQts6EDUV
o6Cuv9ZBC2KRbNCkDqg22yD0gJ3Zt1699t7hWUEiLUG+m3CN/plevUQ2/dorAj2bAEGU2hwOMwsk
7Xffe0XURAWKqwzks2oGbeuYhnjK2qTR1q4as3Ho27vWPY+pGi+q0gp4GqoIZz/hu562QHCBg8LN
i/amU3HfzaQJKKeOleTc7ptpvunX1xlaEgZjGQZG9E2oD4Y42PhNlp7xhZIFESHdpnOQOZ4PdCb7
vZWp5VkOQiu4NBExORStOkjQOA4lolUpK7EM/Sy+JmjFHJBsDQPzRTnq4EALNQX1IymZZhmKS/Sk
xJYFMzsM7Y3qpGa7iVo3vG4bs9gUlEXRQuvTB6IIe2feuBoyRnik88iGz8jIW29uZWVBKRYK6Yiz
LtHcdWfmMpzjDUPq1pG4tDINq0VFqxcyWwVjZ2SLqneDi6AGTA3smj79wpP5qO7YqemQGaCkRTPm
dS6AFaJL1I0xUg8u3dIIWGOtzurngZ8qn5CeOgQLxEOwB+wUHgu6C/tKIHCelVkmg7NeoLJb2PFA
lEeiS2Cy0CcqlFutaz94XdZ8jEXUGYw36uxJEJf21TckIUFsnQm4BbV63nfkckATc6pi1lQAxCFP
9dFGU0R3UEalvcLQl3zRE18J6Yb5cCGGolMeqsIYlIUL9TVbG1CdD0Qj0XERhhfz9ob/A6wBrMZt
psct+w1gzuWcEUSeMVq3ta9WrjrTKEGLPxLjoburRiE0ZuZSVK2B35CPAFKyhIEuI8D/jQs7W4NR
vtJyhKiirCaBnpIf/JYOll5nxbUf2upFgRNSmRHAm3SL2DSxvptJflSruodLGuoNOTwDieC5jHYK
TtClZUQ5IrscUVpAVYPPPB3WtQEhIzO1YeV7UX8vBxdKlpdi86UDf9fnWXBvOCHTI30k+cFWp+x3
tx5vtKzvD2RsVIxwEJFEmtNdhhqrfhyZcKXzIjpvNJilDcdiHNZDBtDQMxHnZNMQSyFaVHylbiwF
QO+AEHUaYpPC1t1pWp1tROI7q1S3UgbyfnJXauj/Mlv/YOkMgdC59wSJ57OiPWMnwZ3PxGpAloZq
ymlhqgc+Z9o1qg3aOajO8M6qC5fW3ofcS8mSaZp+p9fppJ4b23mhWkx8raF0yAc3uP6RIMRWI0bo
ShctQquU7hf3ur7ORQiey2fz9tXujPqqcXOxCBtTuxm9brxDZEv2g7QHmkxhIfET93l6F1NR3IOb
ze+irG6+MuUO76Rmbq3ObjZGxLFDlapyXkW1dcCVWXwsRFJdpYmhHTvHNbN5IaRzIwI6UakPB3we
JpQ4M4c1JZr1oR4uO32gNcz08diNYT3McqUyPghR0DNoCVIvuzbBahbKS2wd1qeQLf3ST0wXBhYe
4GvdlmhU80DbsgeOH2Xl0q/KClXks1oxh8tQpujKICHlX0VQaHfTjXCrj3L86suuAyTRqfGHkd7C
1ZD0k9AO/Efv10k5Z5LRcZ4M3RcxIbAfdZ1yYt0YfWounDh2L+BtNruBNeLaZWzzBD+JwCAal8M9
qJC4nlUszRud8ESSMnRX/xqVGbqaCt8oxu9IWLfYtFE6N1SBc5LrPfaGXnq0oPs+CYpZ7LZ2Hh/U
wGoF44G0nEEL7vfU7eDyoI+Nqz6vnYVB+MvMIKMFNS9lGRMxdAtsiFbUAYg9DNcod3Rzi3xRxpQ8
i1Rrxk2M+rigF+s3024VKg95KEjSLdMg46sW1bUn4mIdZD3EvjZoqpuQnvHSsvSCwS3BOroVu9de
bBgf6ZlFu1Qd3U9KV92oOUk9odfgkc3VIbxySitKQO1EwQz1u0CHqGMcZtdKXjueaLHVkKvvrciG
oFEQNDCj3ehfRmbvXEAloAILR6XhQsTGeNVZlddtRFDXN0ho4lu/9cxPIsQ73LaePGPUql7RTut2
ARtJuMfMpYKoSVBjNX6+jKLeuUzSYdi0GXlIFFHQQ7umhUsEty9QkBLWFhDuoAjMObaB4pxHQXyw
/Cq78oqQzVrdWjukfcmxrwrniKiwWeNh5jt3ul4+anUtEVUG4rbVAns5Gqlc2oVvE6JW5l881+uO
hK/SgPB0kzi0SGGaBeCnKzewxEhSCuqJMa6lX90qKyM61dLeoMBDW0UVNyyECQCHEVe2D7tIX2XF
dEUHPfDh0JgkxMM83vrs+q8UaSg4A1Q7yVdBH/G+tXOH6R9qdwhgmploM79rO+a5MQ0CPxHutV8P
sPBbojgvtaihjM5sIyKSIJHM1wIjpCkRDFclqXK82cuqvEozmTjzijodtWIojXlEk3SP4Kvg5dVa
0UVV9R5hUEm2880KpppBN/hRImwEOEJJqM5dXQ/OHHPonJUQrfrBknFwxzsbWnoZ5PCXpZO11JiK
eQahEtA1gIoPDkBLBqglYlObYIQUvnmjnMWBO6rboK3SWz0tQJqg8oKcViiqceang36f5Sr0U0SR
26CCfTODSIX9a9qn15kU171qi53h+NHKrVRlrtkeeUbZ2B3GtOKCOCy6M0XW9b3pFNlX327He7Ur
rTXAwnRbwUFZMAtPrx23MPay1KkioCpZ97UoYd7WYOYcBPiG6TL4yukG+35wATgpus8wzZF+xTVb
u3RckEpWTrx3hsb+6IyYUPrAelAx5q4HKwLeqhjczp5BCmKZG7cK8NOtjy6TgAfEEQxkkUB+YP7V
pMucPJ01E4r4Y+qp3Z1g6cxnoSjzMweR79KvR8C20Sj6jehjf2cFWbMdBsWemjnW2nWVVUCCQTHD
WR/QxujaT4OYCH5BZFhztKzRR3uYoPXIyOxN6ar2hY6aVzAmV9sn16ycZdOH85KN0VLNA32m6dUU
SGNvyLiIZg31/xmsrlvSOMt157Q3mmzz+xJOwbo1SgAMsrVZscLWVNe9UhGGkMVefBNwm9wXvQr7
iJnvBnNOmyw1XQtIu3Xafodk3wnnWZPX3hLlpfHgVPXwOZfMHWBUBMyluthhVQ8T0nPxWeSuTyoM
Gx3Vi+n28mseZ73bmBXLdh5/DAqr4yI6yCwHwetz7U5K69FvokN4kl87kxI7GxTlYCHOJs9KHrxJ
rx2cpNskW+jbxuhIqztJu/NJ5Z1Pem9QCfomnDTgIVlYK0/1kbkFrX7bGVt3ghmM5B3nUMXPq0Sl
KaJ2xrJLSsYkDkhXmfrJNtFU5NZoEg+VXecLxdIuZBJoFyBRQKKVanflTpL1aBKvI0ZAx15rvGNn
3UnfLotOLtpJ9N5M8neN8cveKxJmIEo1ieThA9bn5chmcVZSztyBM51QZCdxvRhShSRCNojI20vL
XuiTEr9greMNNpjXuWRytZjCA/SVVqQx3GDFdhRw5uj6mQA7Fx12koMnJ9k/RodBZxHrxx3Dh+Kh
goT9wYY+srdiiW3ASFvrrrIy84rFjqlNUqj+Rx5gdaUPXcoW+mQ+mGwIcjIk5JGJTYTvKRb0Wuyd
4MS/OlZLAI7feZLuNvvNbQppEGLUyfSAaqZSN/nkhdCryRaRgChMWTUHTVk0FZP3mYfGH7Ed4xts
YJ6Ht72pZLBEO2AK1IuGcpzgsjep50Lbq9mzL3LkgJejjJuPmbSGfFG0Q3re2JKBuW2RWxkqbHEG
o1Uv7cqKP1Z0MWrMY5BtLqvUV3VUqkVsLkzfwEnhEJuDm6Xtodyoqc/Upc+Zc/JEOLgZWuHcu9A+
3VkrXdQ6Ebpbem6027MdzHplSkkbVPwXo3ZfVXS717Wl2mcQDsnYCYUXfMgUOxnA95ekNDMxNb5W
0D+ydU6HeVi5ak12Anocr14wM6z8y1o3KDniOMPNY/vayEsvdgDk28M1z0w3M/WkIr3HH9lrsPqf
AQvelE2SnvXgD+5ZlsxrK+N1EITgm9N2qG96Ejfp4cfjfTd6UsFkE/TkBMKUmZe+GqO2KCxwoaeW
0j9lBP+V3bkvJzIZZ5cnoeJV81QO10/AgGpM55iDvads+tNDFqT1bfav/aU/PtALt/5P+PcayiP6
D6/kkacvdfrGf3SM+Ahev3kEii8cEqBtDZT9394R0ei9/G9pvdcNFS+xYaunn+fP+e7a/N7Z//GJ
PV/GP/47r774F6jI9XT5vSBLXzFGpuboXzn1H47w3anD5Ee+RtmPSfn7c3cmuohA9vl86pMekw/6
3z/342NCXgo4ojL4Un9/7pJ8GaHTTf8r5//DUV6dvwUkFSgLbIHpB13q95dBe08YrGqhTAVPxs//
r1vghxN4Oj2U28f/+psBFeGt97/mvDdMoU5khZ9eBAs/u+1wNzxfg4nP9mvdCxqJ4TTl33QnaOp7
2vs2nnyO9P0tYIEA4Bozonm+OM+33C/0JGgWM8+3nj1pi8w4hPE7zwG3APMHzZyAQ9PP87rzC10E
HVH78335w8vpn3gPaCjkkdyr9OBe3wI2t4CcQITPl/kXOm1mYBM+5U13vrDen/r4Fg6A0w93+PcP
AMGZPPmq5WjPv/tf7vFn/Pjm9wDBocg8QA3pP1sCbf4YaCTLzK/39J8QnIb61pvAfm8xU+LX/LLM
/fAilO95BzJ1NF9ugl/uRciDy1CKBeqNFwJEC9u9iTb6wyLgvFdVjDBwhp4fg2dTzi+0FmjmhFt9
01KgmfBbTVPDhPd8khzw+6XAeU+by2Az9HINfrnXgEDC89Y7AGyUjXIUPOwPC6H5nlM3pD6hdqaf
X+8OgGv71p2A0In2gjXAvOtnK6G0GTPbTE9xJZ1+fr1bAArdW28B4Iomc1Sm7C/7/tfPgQ0WCqE2
8dQvG+Zf75VonMx6b1oM2Bc4hGhT/DzfCD/URhCwkBJM1eMvuyec6rY3rog8DjYLIm8E9BOnn1cr
oo1QA4QC782XO+GfeC/+hVfHb70WSBvx46nLEjxVP2vG/N5f+NZm+Mc/f2kxTEWkRh/h1V+cmi7P
n/1caU7//d+vatBTK+C7P/zWGjh9zss/fznBf/zoV5/17ay+/c9N8FQeyy/+cPqD4eVrPscX/k/6
6JfHd4fy+PhU+d+3A55ffn//Qv/1t1df97u74A+PX1XH5PvDCm1SQL/1sLMA1c+3w0wX/HnH+tbD
bo7lcEyP3x/4pR325iMHyfELuPefXmnAnuw23/oRuyM4t3f/cUzy/3x3dsT4ELy6QmzEp1X8rZ9y
dixT2pTR64v0XDC/+djcp/EPBz71Id564P0xqvzjY/f0lH+7AqendMrT/PY/ftoW/W25/6N7/Pz4
6A8/f4aetw9v/fqXjwFf/9sXnb65eH4lv/XAh+ax+eI/IR14dXBLn0C4bz94Gh4/fzvO6Vs/7yXf
euDrY3gkq+f4qnP7Ure/9dg3QRQFrxYsXQUJ+e0s/vWb5PaYBPG7i+Nj8+1Yp2Xrucny1m99Ihb8
bGnRn3ctbz3+/VNVv5s9pd4xfvXtn7cDbz36+ZHFnAWrLl/d4y+N2Lcefd2EHP3nne43Hzt79Y2n
Djqq82+X6F+/WXgr/0ZBvwi+ZJ+P5bttFQOkqL4dfLp76B9q2tSteut5/A/6it9/PZHphJr+37FQ
BmNWvt4OcGgsXtMU4K3ncIuIBMbotwNN1+fl4P+Gp3dxfGSXxPXnCYZx+25zbJ/i4B8+Swc/++YT
mT5h+lV/O9LLmSDNn3TBb71M55Muo3m9M3jOnPk3XKY/i7T5fUTLX3rRLp5i/8eLzmWZWnVvvSyL
3563308deOO3/1Ni95uP/+cM5jd+xF8g47zxE/5Uzf/G498+8Wh5P+7x/97pfOt99Ffj4N94Gj9f
j97x3nj3u3fyc5gAtEVB0402BNkZf/bc/Kze/G1m/Y9V6Lc5/M/+2esSe/obX+KnY/nf/w8AAP//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369186</xdr:colOff>
      <xdr:row>4</xdr:row>
      <xdr:rowOff>125523</xdr:rowOff>
    </xdr:from>
    <xdr:to>
      <xdr:col>18</xdr:col>
      <xdr:colOff>258430</xdr:colOff>
      <xdr:row>9</xdr:row>
      <xdr:rowOff>125523</xdr:rowOff>
    </xdr:to>
    <xdr:sp macro="" textlink="">
      <xdr:nvSpPr>
        <xdr:cNvPr id="2" name="Rectangle: Rounded Corners 1">
          <a:extLst>
            <a:ext uri="{FF2B5EF4-FFF2-40B4-BE49-F238E27FC236}">
              <a16:creationId xmlns:a16="http://schemas.microsoft.com/office/drawing/2014/main" id="{8EA2E250-61C1-CE1F-5252-2260278432F8}"/>
            </a:ext>
          </a:extLst>
        </xdr:cNvPr>
        <xdr:cNvSpPr/>
      </xdr:nvSpPr>
      <xdr:spPr>
        <a:xfrm>
          <a:off x="2207733" y="863895"/>
          <a:ext cx="9081976" cy="9229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u="sng">
              <a:latin typeface="Arial Black" panose="020B0A04020102020204" pitchFamily="34" charset="0"/>
            </a:rPr>
            <a:t>IMPACT</a:t>
          </a:r>
          <a:r>
            <a:rPr lang="en-IN" sz="2000" b="1" u="sng" baseline="0">
              <a:latin typeface="Arial Black" panose="020B0A04020102020204" pitchFamily="34" charset="0"/>
            </a:rPr>
            <a:t> ON AI  TOOLS ON STUDENTS PRODUCTIVITY AND ACADEMIC PERFORMANCE</a:t>
          </a:r>
          <a:endParaRPr lang="en-IN" sz="2000" b="1" u="sng">
            <a:latin typeface="Arial Black" panose="020B0A04020102020204" pitchFamily="34" charset="0"/>
          </a:endParaRPr>
        </a:p>
      </xdr:txBody>
    </xdr:sp>
    <xdr:clientData/>
  </xdr:twoCellAnchor>
  <xdr:twoCellAnchor>
    <xdr:from>
      <xdr:col>3</xdr:col>
      <xdr:colOff>12230</xdr:colOff>
      <xdr:row>13</xdr:row>
      <xdr:rowOff>116796</xdr:rowOff>
    </xdr:from>
    <xdr:to>
      <xdr:col>6</xdr:col>
      <xdr:colOff>152521</xdr:colOff>
      <xdr:row>101</xdr:row>
      <xdr:rowOff>34159</xdr:rowOff>
    </xdr:to>
    <xdr:sp macro="" textlink="">
      <xdr:nvSpPr>
        <xdr:cNvPr id="3" name="Rectangle: Rounded Corners 2">
          <a:extLst>
            <a:ext uri="{FF2B5EF4-FFF2-40B4-BE49-F238E27FC236}">
              <a16:creationId xmlns:a16="http://schemas.microsoft.com/office/drawing/2014/main" id="{BBEB994D-8AE0-50E2-CB51-831F3A624ABD}"/>
            </a:ext>
          </a:extLst>
        </xdr:cNvPr>
        <xdr:cNvSpPr/>
      </xdr:nvSpPr>
      <xdr:spPr>
        <a:xfrm>
          <a:off x="1840260" y="2534927"/>
          <a:ext cx="1968322" cy="1628625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u="sng">
              <a:latin typeface="Aparajita" panose="02020603050405020304" pitchFamily="18" charset="0"/>
              <a:cs typeface="Aparajita" panose="02020603050405020304" pitchFamily="18" charset="0"/>
            </a:rPr>
            <a:t>KPI</a:t>
          </a:r>
          <a:r>
            <a:rPr lang="en-IN" sz="1600" b="1" u="sng" baseline="0">
              <a:latin typeface="Aparajita" panose="02020603050405020304" pitchFamily="18" charset="0"/>
              <a:cs typeface="Aparajita" panose="02020603050405020304" pitchFamily="18" charset="0"/>
            </a:rPr>
            <a:t> CARDS-</a:t>
          </a:r>
        </a:p>
        <a:p>
          <a:pPr algn="l"/>
          <a:r>
            <a:rPr lang="en-IN" sz="1600" b="1" u="sng" baseline="0">
              <a:latin typeface="Aparajita" panose="02020603050405020304" pitchFamily="18" charset="0"/>
              <a:cs typeface="Aparajita" panose="02020603050405020304" pitchFamily="18" charset="0"/>
            </a:rPr>
            <a:t>SLICERS-</a:t>
          </a:r>
        </a:p>
        <a:p>
          <a:pPr algn="l"/>
          <a:r>
            <a:rPr lang="en-IN" sz="1600" b="1" u="sng" baseline="0">
              <a:latin typeface="Aparajita" panose="02020603050405020304" pitchFamily="18" charset="0"/>
              <a:cs typeface="Aparajita" panose="02020603050405020304" pitchFamily="18" charset="0"/>
            </a:rPr>
            <a:t>TREND ANALYSIS-</a:t>
          </a:r>
        </a:p>
        <a:p>
          <a:pPr algn="l"/>
          <a:endParaRPr lang="en-IN" sz="1600" b="1" u="sng" baseline="0">
            <a:latin typeface="Aparajita" panose="02020603050405020304" pitchFamily="18" charset="0"/>
            <a:cs typeface="Aparajita" panose="02020603050405020304" pitchFamily="18" charset="0"/>
          </a:endParaRPr>
        </a:p>
        <a:p>
          <a:pPr algn="l"/>
          <a:endParaRPr lang="en-IN" sz="1600" b="1" u="sng">
            <a:latin typeface="Aparajita" panose="02020603050405020304" pitchFamily="18" charset="0"/>
            <a:cs typeface="Aparajita" panose="02020603050405020304" pitchFamily="18" charset="0"/>
          </a:endParaRPr>
        </a:p>
      </xdr:txBody>
    </xdr:sp>
    <xdr:clientData/>
  </xdr:twoCellAnchor>
  <xdr:twoCellAnchor>
    <xdr:from>
      <xdr:col>6</xdr:col>
      <xdr:colOff>347034</xdr:colOff>
      <xdr:row>10</xdr:row>
      <xdr:rowOff>103371</xdr:rowOff>
    </xdr:from>
    <xdr:to>
      <xdr:col>9</xdr:col>
      <xdr:colOff>539010</xdr:colOff>
      <xdr:row>19</xdr:row>
      <xdr:rowOff>140290</xdr:rowOff>
    </xdr:to>
    <xdr:sp macro="" textlink="">
      <xdr:nvSpPr>
        <xdr:cNvPr id="4" name="Oval 3">
          <a:extLst>
            <a:ext uri="{FF2B5EF4-FFF2-40B4-BE49-F238E27FC236}">
              <a16:creationId xmlns:a16="http://schemas.microsoft.com/office/drawing/2014/main" id="{2F09BBD9-0BCC-F3DA-41E6-CC732E3B4571}"/>
            </a:ext>
          </a:extLst>
        </xdr:cNvPr>
        <xdr:cNvSpPr/>
      </xdr:nvSpPr>
      <xdr:spPr>
        <a:xfrm>
          <a:off x="4024127" y="1949301"/>
          <a:ext cx="2030523" cy="169825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516860</xdr:colOff>
      <xdr:row>12</xdr:row>
      <xdr:rowOff>177210</xdr:rowOff>
    </xdr:from>
    <xdr:to>
      <xdr:col>9</xdr:col>
      <xdr:colOff>354418</xdr:colOff>
      <xdr:row>14</xdr:row>
      <xdr:rowOff>132907</xdr:rowOff>
    </xdr:to>
    <xdr:sp macro="" textlink="">
      <xdr:nvSpPr>
        <xdr:cNvPr id="5" name="TextBox 4">
          <a:extLst>
            <a:ext uri="{FF2B5EF4-FFF2-40B4-BE49-F238E27FC236}">
              <a16:creationId xmlns:a16="http://schemas.microsoft.com/office/drawing/2014/main" id="{DDE15C57-9E42-1C20-CC07-01B77BCECE42}"/>
            </a:ext>
          </a:extLst>
        </xdr:cNvPr>
        <xdr:cNvSpPr txBox="1"/>
      </xdr:nvSpPr>
      <xdr:spPr>
        <a:xfrm>
          <a:off x="4193953" y="2392326"/>
          <a:ext cx="1676105" cy="32488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 STUDENTS</a:t>
          </a:r>
        </a:p>
      </xdr:txBody>
    </xdr:sp>
    <xdr:clientData/>
  </xdr:twoCellAnchor>
  <xdr:twoCellAnchor>
    <xdr:from>
      <xdr:col>7</xdr:col>
      <xdr:colOff>273198</xdr:colOff>
      <xdr:row>15</xdr:row>
      <xdr:rowOff>95989</xdr:rowOff>
    </xdr:from>
    <xdr:to>
      <xdr:col>8</xdr:col>
      <xdr:colOff>465174</xdr:colOff>
      <xdr:row>18</xdr:row>
      <xdr:rowOff>103373</xdr:rowOff>
    </xdr:to>
    <xdr:sp macro="" textlink="data!S8">
      <xdr:nvSpPr>
        <xdr:cNvPr id="6" name="TextBox 5">
          <a:extLst>
            <a:ext uri="{FF2B5EF4-FFF2-40B4-BE49-F238E27FC236}">
              <a16:creationId xmlns:a16="http://schemas.microsoft.com/office/drawing/2014/main" id="{F56B06C5-5EEF-035B-3372-6B5ED0A997E4}"/>
            </a:ext>
          </a:extLst>
        </xdr:cNvPr>
        <xdr:cNvSpPr txBox="1"/>
      </xdr:nvSpPr>
      <xdr:spPr>
        <a:xfrm>
          <a:off x="4563140" y="2864884"/>
          <a:ext cx="804825" cy="561163"/>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DA1B4E-026D-498F-821A-6EB031192151}" type="TxLink">
            <a:rPr lang="en-US" sz="1100" b="0" i="0" u="none" strike="noStrike">
              <a:solidFill>
                <a:srgbClr val="000000"/>
              </a:solidFill>
              <a:latin typeface="Aptos Narrow"/>
            </a:rPr>
            <a:pPr/>
            <a:t>499</a:t>
          </a:fld>
          <a:endParaRPr lang="en-IN" sz="1100"/>
        </a:p>
      </xdr:txBody>
    </xdr:sp>
    <xdr:clientData/>
  </xdr:twoCellAnchor>
  <xdr:twoCellAnchor>
    <xdr:from>
      <xdr:col>10</xdr:col>
      <xdr:colOff>494710</xdr:colOff>
      <xdr:row>10</xdr:row>
      <xdr:rowOff>140291</xdr:rowOff>
    </xdr:from>
    <xdr:to>
      <xdr:col>14</xdr:col>
      <xdr:colOff>36918</xdr:colOff>
      <xdr:row>20</xdr:row>
      <xdr:rowOff>14768</xdr:rowOff>
    </xdr:to>
    <xdr:sp macro="" textlink="">
      <xdr:nvSpPr>
        <xdr:cNvPr id="7" name="Oval 6">
          <a:extLst>
            <a:ext uri="{FF2B5EF4-FFF2-40B4-BE49-F238E27FC236}">
              <a16:creationId xmlns:a16="http://schemas.microsoft.com/office/drawing/2014/main" id="{7656F618-23D0-7552-9FA9-A48D11F70C4D}"/>
            </a:ext>
          </a:extLst>
        </xdr:cNvPr>
        <xdr:cNvSpPr/>
      </xdr:nvSpPr>
      <xdr:spPr>
        <a:xfrm>
          <a:off x="6623198" y="1986221"/>
          <a:ext cx="1993604" cy="172040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36918</xdr:colOff>
      <xdr:row>10</xdr:row>
      <xdr:rowOff>140291</xdr:rowOff>
    </xdr:from>
    <xdr:to>
      <xdr:col>18</xdr:col>
      <xdr:colOff>251046</xdr:colOff>
      <xdr:row>20</xdr:row>
      <xdr:rowOff>36919</xdr:rowOff>
    </xdr:to>
    <xdr:sp macro="" textlink="">
      <xdr:nvSpPr>
        <xdr:cNvPr id="8" name="Oval 7">
          <a:extLst>
            <a:ext uri="{FF2B5EF4-FFF2-40B4-BE49-F238E27FC236}">
              <a16:creationId xmlns:a16="http://schemas.microsoft.com/office/drawing/2014/main" id="{CDC1C484-B488-9AEE-654F-393E1FA093CB}"/>
            </a:ext>
          </a:extLst>
        </xdr:cNvPr>
        <xdr:cNvSpPr/>
      </xdr:nvSpPr>
      <xdr:spPr>
        <a:xfrm>
          <a:off x="9229651" y="1986221"/>
          <a:ext cx="2052674" cy="1742558"/>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22151</xdr:colOff>
      <xdr:row>13</xdr:row>
      <xdr:rowOff>59070</xdr:rowOff>
    </xdr:from>
    <xdr:to>
      <xdr:col>13</xdr:col>
      <xdr:colOff>546395</xdr:colOff>
      <xdr:row>15</xdr:row>
      <xdr:rowOff>66454</xdr:rowOff>
    </xdr:to>
    <xdr:sp macro="" textlink="">
      <xdr:nvSpPr>
        <xdr:cNvPr id="9" name="TextBox 8">
          <a:extLst>
            <a:ext uri="{FF2B5EF4-FFF2-40B4-BE49-F238E27FC236}">
              <a16:creationId xmlns:a16="http://schemas.microsoft.com/office/drawing/2014/main" id="{BC88B3EE-B07D-D745-46CA-C456A669E0F9}"/>
            </a:ext>
          </a:extLst>
        </xdr:cNvPr>
        <xdr:cNvSpPr txBox="1"/>
      </xdr:nvSpPr>
      <xdr:spPr>
        <a:xfrm>
          <a:off x="6763488" y="2458779"/>
          <a:ext cx="1749942" cy="37657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GPA IMPROVEMENT</a:t>
          </a:r>
        </a:p>
      </xdr:txBody>
    </xdr:sp>
    <xdr:clientData/>
  </xdr:twoCellAnchor>
  <xdr:twoCellAnchor>
    <xdr:from>
      <xdr:col>11</xdr:col>
      <xdr:colOff>509477</xdr:colOff>
      <xdr:row>15</xdr:row>
      <xdr:rowOff>169826</xdr:rowOff>
    </xdr:from>
    <xdr:to>
      <xdr:col>13</xdr:col>
      <xdr:colOff>51686</xdr:colOff>
      <xdr:row>19</xdr:row>
      <xdr:rowOff>14768</xdr:rowOff>
    </xdr:to>
    <xdr:sp macro="" textlink="data!S9">
      <xdr:nvSpPr>
        <xdr:cNvPr id="10" name="TextBox 9">
          <a:extLst>
            <a:ext uri="{FF2B5EF4-FFF2-40B4-BE49-F238E27FC236}">
              <a16:creationId xmlns:a16="http://schemas.microsoft.com/office/drawing/2014/main" id="{BADDCF15-B4A0-53BC-DD4A-279852BCDA66}"/>
            </a:ext>
          </a:extLst>
        </xdr:cNvPr>
        <xdr:cNvSpPr txBox="1"/>
      </xdr:nvSpPr>
      <xdr:spPr>
        <a:xfrm>
          <a:off x="7250814" y="2938721"/>
          <a:ext cx="767907" cy="58331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9D53ED-4444-400A-A00A-426CDF982687}" type="TxLink">
            <a:rPr lang="en-US" sz="1100" b="0" i="0" u="none" strike="noStrike">
              <a:solidFill>
                <a:srgbClr val="000000"/>
              </a:solidFill>
              <a:latin typeface="Aptos Narrow"/>
            </a:rPr>
            <a:pPr/>
            <a:t>8.15%</a:t>
          </a:fld>
          <a:endParaRPr lang="en-IN" sz="1100"/>
        </a:p>
      </xdr:txBody>
    </xdr:sp>
    <xdr:clientData/>
  </xdr:twoCellAnchor>
  <xdr:twoCellAnchor>
    <xdr:from>
      <xdr:col>15</xdr:col>
      <xdr:colOff>191976</xdr:colOff>
      <xdr:row>13</xdr:row>
      <xdr:rowOff>118140</xdr:rowOff>
    </xdr:from>
    <xdr:to>
      <xdr:col>18</xdr:col>
      <xdr:colOff>140291</xdr:colOff>
      <xdr:row>15</xdr:row>
      <xdr:rowOff>147675</xdr:rowOff>
    </xdr:to>
    <xdr:sp macro="" textlink="">
      <xdr:nvSpPr>
        <xdr:cNvPr id="11" name="TextBox 10">
          <a:extLst>
            <a:ext uri="{FF2B5EF4-FFF2-40B4-BE49-F238E27FC236}">
              <a16:creationId xmlns:a16="http://schemas.microsoft.com/office/drawing/2014/main" id="{78D00973-C1DE-7290-0F33-9DFCEDE1A2E9}"/>
            </a:ext>
          </a:extLst>
        </xdr:cNvPr>
        <xdr:cNvSpPr txBox="1"/>
      </xdr:nvSpPr>
      <xdr:spPr>
        <a:xfrm>
          <a:off x="9384709" y="2517849"/>
          <a:ext cx="1786861" cy="39872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HIGHEST AI TOOL USED</a:t>
          </a:r>
        </a:p>
      </xdr:txBody>
    </xdr:sp>
    <xdr:clientData/>
  </xdr:twoCellAnchor>
  <xdr:twoCellAnchor>
    <xdr:from>
      <xdr:col>16</xdr:col>
      <xdr:colOff>81221</xdr:colOff>
      <xdr:row>16</xdr:row>
      <xdr:rowOff>36919</xdr:rowOff>
    </xdr:from>
    <xdr:to>
      <xdr:col>17</xdr:col>
      <xdr:colOff>162442</xdr:colOff>
      <xdr:row>19</xdr:row>
      <xdr:rowOff>29535</xdr:rowOff>
    </xdr:to>
    <xdr:sp macro="" textlink="'pivot table'!A4">
      <xdr:nvSpPr>
        <xdr:cNvPr id="12" name="TextBox 11">
          <a:extLst>
            <a:ext uri="{FF2B5EF4-FFF2-40B4-BE49-F238E27FC236}">
              <a16:creationId xmlns:a16="http://schemas.microsoft.com/office/drawing/2014/main" id="{171C6A42-D9D7-F047-AF9D-2CF3E552BF5F}"/>
            </a:ext>
          </a:extLst>
        </xdr:cNvPr>
        <xdr:cNvSpPr txBox="1"/>
      </xdr:nvSpPr>
      <xdr:spPr>
        <a:xfrm>
          <a:off x="9886802" y="2990407"/>
          <a:ext cx="694070" cy="54639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AB2D3B-1DB1-425F-B75F-B8B794DF8632}" type="TxLink">
            <a:rPr lang="en-US" sz="1100" b="0" i="0" u="none" strike="noStrike">
              <a:solidFill>
                <a:srgbClr val="000000"/>
              </a:solidFill>
              <a:latin typeface="Aptos Narrow"/>
            </a:rPr>
            <a:pPr/>
            <a:t>GitHub Copilot</a:t>
          </a:fld>
          <a:endParaRPr lang="en-IN" sz="1100"/>
        </a:p>
      </xdr:txBody>
    </xdr:sp>
    <xdr:clientData/>
  </xdr:twoCellAnchor>
  <xdr:twoCellAnchor>
    <xdr:from>
      <xdr:col>6</xdr:col>
      <xdr:colOff>347036</xdr:colOff>
      <xdr:row>20</xdr:row>
      <xdr:rowOff>88605</xdr:rowOff>
    </xdr:from>
    <xdr:to>
      <xdr:col>9</xdr:col>
      <xdr:colOff>524245</xdr:colOff>
      <xdr:row>29</xdr:row>
      <xdr:rowOff>29534</xdr:rowOff>
    </xdr:to>
    <xdr:sp macro="" textlink="">
      <xdr:nvSpPr>
        <xdr:cNvPr id="13" name="Oval 12">
          <a:extLst>
            <a:ext uri="{FF2B5EF4-FFF2-40B4-BE49-F238E27FC236}">
              <a16:creationId xmlns:a16="http://schemas.microsoft.com/office/drawing/2014/main" id="{B0604AA8-3380-39F1-CADF-5990033BEC28}"/>
            </a:ext>
          </a:extLst>
        </xdr:cNvPr>
        <xdr:cNvSpPr/>
      </xdr:nvSpPr>
      <xdr:spPr>
        <a:xfrm>
          <a:off x="4024129" y="3780465"/>
          <a:ext cx="2015756" cy="160226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443023</xdr:colOff>
      <xdr:row>23</xdr:row>
      <xdr:rowOff>7383</xdr:rowOff>
    </xdr:from>
    <xdr:to>
      <xdr:col>9</xdr:col>
      <xdr:colOff>435639</xdr:colOff>
      <xdr:row>25</xdr:row>
      <xdr:rowOff>36918</xdr:rowOff>
    </xdr:to>
    <xdr:sp macro="" textlink="">
      <xdr:nvSpPr>
        <xdr:cNvPr id="14" name="TextBox 13">
          <a:extLst>
            <a:ext uri="{FF2B5EF4-FFF2-40B4-BE49-F238E27FC236}">
              <a16:creationId xmlns:a16="http://schemas.microsoft.com/office/drawing/2014/main" id="{70649106-33D2-E0FC-5B7C-9CB3BAEA7A0C}"/>
            </a:ext>
          </a:extLst>
        </xdr:cNvPr>
        <xdr:cNvSpPr txBox="1"/>
      </xdr:nvSpPr>
      <xdr:spPr>
        <a:xfrm>
          <a:off x="4120116" y="4253023"/>
          <a:ext cx="1831163" cy="39872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AVERAGE TIME SAVED</a:t>
          </a:r>
        </a:p>
      </xdr:txBody>
    </xdr:sp>
    <xdr:clientData/>
  </xdr:twoCellAnchor>
  <xdr:twoCellAnchor>
    <xdr:from>
      <xdr:col>7</xdr:col>
      <xdr:colOff>369186</xdr:colOff>
      <xdr:row>25</xdr:row>
      <xdr:rowOff>147674</xdr:rowOff>
    </xdr:from>
    <xdr:to>
      <xdr:col>8</xdr:col>
      <xdr:colOff>568547</xdr:colOff>
      <xdr:row>27</xdr:row>
      <xdr:rowOff>118139</xdr:rowOff>
    </xdr:to>
    <xdr:sp macro="" textlink="data!S10">
      <xdr:nvSpPr>
        <xdr:cNvPr id="15" name="TextBox 14">
          <a:extLst>
            <a:ext uri="{FF2B5EF4-FFF2-40B4-BE49-F238E27FC236}">
              <a16:creationId xmlns:a16="http://schemas.microsoft.com/office/drawing/2014/main" id="{7B7C300A-B869-116C-5DC9-FE9F3CCDE85B}"/>
            </a:ext>
          </a:extLst>
        </xdr:cNvPr>
        <xdr:cNvSpPr txBox="1"/>
      </xdr:nvSpPr>
      <xdr:spPr>
        <a:xfrm>
          <a:off x="4659128" y="4762500"/>
          <a:ext cx="812210" cy="33965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1486A1-9788-4C8E-A051-D8D80D07B6D8}" type="TxLink">
            <a:rPr lang="en-US" sz="1100" b="0" i="0" u="none" strike="noStrike">
              <a:solidFill>
                <a:srgbClr val="000000"/>
              </a:solidFill>
              <a:latin typeface="Aptos Narrow"/>
            </a:rPr>
            <a:pPr/>
            <a:t>8.43</a:t>
          </a:fld>
          <a:endParaRPr lang="en-IN" sz="1100"/>
        </a:p>
      </xdr:txBody>
    </xdr:sp>
    <xdr:clientData/>
  </xdr:twoCellAnchor>
  <xdr:twoCellAnchor>
    <xdr:from>
      <xdr:col>10</xdr:col>
      <xdr:colOff>228897</xdr:colOff>
      <xdr:row>20</xdr:row>
      <xdr:rowOff>162442</xdr:rowOff>
    </xdr:from>
    <xdr:to>
      <xdr:col>13</xdr:col>
      <xdr:colOff>479942</xdr:colOff>
      <xdr:row>29</xdr:row>
      <xdr:rowOff>51685</xdr:rowOff>
    </xdr:to>
    <xdr:sp macro="" textlink="">
      <xdr:nvSpPr>
        <xdr:cNvPr id="16" name="Oval 15">
          <a:extLst>
            <a:ext uri="{FF2B5EF4-FFF2-40B4-BE49-F238E27FC236}">
              <a16:creationId xmlns:a16="http://schemas.microsoft.com/office/drawing/2014/main" id="{E5756CD0-AE52-FC8A-A11E-857375089BC1}"/>
            </a:ext>
          </a:extLst>
        </xdr:cNvPr>
        <xdr:cNvSpPr/>
      </xdr:nvSpPr>
      <xdr:spPr>
        <a:xfrm>
          <a:off x="6357385" y="3854302"/>
          <a:ext cx="2089592" cy="155058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420873</xdr:colOff>
      <xdr:row>23</xdr:row>
      <xdr:rowOff>59069</xdr:rowOff>
    </xdr:from>
    <xdr:to>
      <xdr:col>13</xdr:col>
      <xdr:colOff>287966</xdr:colOff>
      <xdr:row>25</xdr:row>
      <xdr:rowOff>95988</xdr:rowOff>
    </xdr:to>
    <xdr:sp macro="" textlink="">
      <xdr:nvSpPr>
        <xdr:cNvPr id="17" name="TextBox 16">
          <a:extLst>
            <a:ext uri="{FF2B5EF4-FFF2-40B4-BE49-F238E27FC236}">
              <a16:creationId xmlns:a16="http://schemas.microsoft.com/office/drawing/2014/main" id="{4AC3ACF2-E1AE-CDAB-6580-8189CBF3696D}"/>
            </a:ext>
          </a:extLst>
        </xdr:cNvPr>
        <xdr:cNvSpPr txBox="1"/>
      </xdr:nvSpPr>
      <xdr:spPr>
        <a:xfrm>
          <a:off x="6549361" y="4304709"/>
          <a:ext cx="1705640" cy="40610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CONFIDENCE INCREASE</a:t>
          </a:r>
        </a:p>
      </xdr:txBody>
    </xdr:sp>
    <xdr:clientData/>
  </xdr:twoCellAnchor>
  <xdr:twoCellAnchor>
    <xdr:from>
      <xdr:col>11</xdr:col>
      <xdr:colOff>243663</xdr:colOff>
      <xdr:row>26</xdr:row>
      <xdr:rowOff>14767</xdr:rowOff>
    </xdr:from>
    <xdr:to>
      <xdr:col>12</xdr:col>
      <xdr:colOff>332267</xdr:colOff>
      <xdr:row>28</xdr:row>
      <xdr:rowOff>51686</xdr:rowOff>
    </xdr:to>
    <xdr:sp macro="" textlink="data!S11">
      <xdr:nvSpPr>
        <xdr:cNvPr id="18" name="TextBox 17">
          <a:extLst>
            <a:ext uri="{FF2B5EF4-FFF2-40B4-BE49-F238E27FC236}">
              <a16:creationId xmlns:a16="http://schemas.microsoft.com/office/drawing/2014/main" id="{316085C1-69DC-1F2A-9CEA-38EB8C6640C1}"/>
            </a:ext>
          </a:extLst>
        </xdr:cNvPr>
        <xdr:cNvSpPr txBox="1"/>
      </xdr:nvSpPr>
      <xdr:spPr>
        <a:xfrm>
          <a:off x="6985000" y="4814186"/>
          <a:ext cx="701453" cy="40610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36DD82-9583-4E96-A4E2-940C3F3B2F6D}" type="TxLink">
            <a:rPr lang="en-US" sz="1100" b="0" i="0" u="none" strike="noStrike">
              <a:solidFill>
                <a:srgbClr val="000000"/>
              </a:solidFill>
              <a:latin typeface="Aptos Narrow"/>
            </a:rPr>
            <a:pPr/>
            <a:t>5.58</a:t>
          </a:fld>
          <a:endParaRPr lang="en-IN" sz="1100"/>
        </a:p>
      </xdr:txBody>
    </xdr:sp>
    <xdr:clientData/>
  </xdr:twoCellAnchor>
  <xdr:twoCellAnchor>
    <xdr:from>
      <xdr:col>14</xdr:col>
      <xdr:colOff>391337</xdr:colOff>
      <xdr:row>21</xdr:row>
      <xdr:rowOff>22152</xdr:rowOff>
    </xdr:from>
    <xdr:to>
      <xdr:col>18</xdr:col>
      <xdr:colOff>221511</xdr:colOff>
      <xdr:row>29</xdr:row>
      <xdr:rowOff>44302</xdr:rowOff>
    </xdr:to>
    <xdr:sp macro="" textlink="">
      <xdr:nvSpPr>
        <xdr:cNvPr id="19" name="Oval 18">
          <a:extLst>
            <a:ext uri="{FF2B5EF4-FFF2-40B4-BE49-F238E27FC236}">
              <a16:creationId xmlns:a16="http://schemas.microsoft.com/office/drawing/2014/main" id="{50A8A3CC-3149-3A42-B796-36A92FCBFEBE}"/>
            </a:ext>
          </a:extLst>
        </xdr:cNvPr>
        <xdr:cNvSpPr/>
      </xdr:nvSpPr>
      <xdr:spPr>
        <a:xfrm>
          <a:off x="8971221" y="3898605"/>
          <a:ext cx="2281569" cy="149889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539011</xdr:colOff>
      <xdr:row>23</xdr:row>
      <xdr:rowOff>125523</xdr:rowOff>
    </xdr:from>
    <xdr:to>
      <xdr:col>18</xdr:col>
      <xdr:colOff>73837</xdr:colOff>
      <xdr:row>25</xdr:row>
      <xdr:rowOff>103372</xdr:rowOff>
    </xdr:to>
    <xdr:sp macro="" textlink="">
      <xdr:nvSpPr>
        <xdr:cNvPr id="20" name="TextBox 19">
          <a:extLst>
            <a:ext uri="{FF2B5EF4-FFF2-40B4-BE49-F238E27FC236}">
              <a16:creationId xmlns:a16="http://schemas.microsoft.com/office/drawing/2014/main" id="{15E7D548-C9CD-508E-A9BC-F06BA20FDE5D}"/>
            </a:ext>
          </a:extLst>
        </xdr:cNvPr>
        <xdr:cNvSpPr txBox="1"/>
      </xdr:nvSpPr>
      <xdr:spPr>
        <a:xfrm>
          <a:off x="9118895" y="4371163"/>
          <a:ext cx="1986221" cy="34703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HIGHEST  MAJOR</a:t>
          </a:r>
        </a:p>
      </xdr:txBody>
    </xdr:sp>
    <xdr:clientData/>
  </xdr:twoCellAnchor>
  <xdr:twoCellAnchor>
    <xdr:from>
      <xdr:col>15</xdr:col>
      <xdr:colOff>420871</xdr:colOff>
      <xdr:row>26</xdr:row>
      <xdr:rowOff>36918</xdr:rowOff>
    </xdr:from>
    <xdr:to>
      <xdr:col>17</xdr:col>
      <xdr:colOff>59069</xdr:colOff>
      <xdr:row>28</xdr:row>
      <xdr:rowOff>44302</xdr:rowOff>
    </xdr:to>
    <xdr:sp macro="" textlink="'pivot table'!E7">
      <xdr:nvSpPr>
        <xdr:cNvPr id="21" name="TextBox 20">
          <a:extLst>
            <a:ext uri="{FF2B5EF4-FFF2-40B4-BE49-F238E27FC236}">
              <a16:creationId xmlns:a16="http://schemas.microsoft.com/office/drawing/2014/main" id="{60048230-2F36-A581-72EF-6B0F81825A9E}"/>
            </a:ext>
          </a:extLst>
        </xdr:cNvPr>
        <xdr:cNvSpPr txBox="1"/>
      </xdr:nvSpPr>
      <xdr:spPr>
        <a:xfrm>
          <a:off x="9613604" y="4836337"/>
          <a:ext cx="863895" cy="37657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7AE462-B800-4ADB-ACD1-3721CE4AC922}" type="TxLink">
            <a:rPr lang="en-US" sz="1100" b="0" i="0" u="none" strike="noStrike">
              <a:solidFill>
                <a:srgbClr val="000000"/>
              </a:solidFill>
              <a:latin typeface="Aptos Narrow"/>
            </a:rPr>
            <a:pPr/>
            <a:t>Fine Arts</a:t>
          </a:fld>
          <a:endParaRPr lang="en-IN" sz="1100"/>
        </a:p>
      </xdr:txBody>
    </xdr:sp>
    <xdr:clientData/>
  </xdr:twoCellAnchor>
  <xdr:twoCellAnchor>
    <xdr:from>
      <xdr:col>6</xdr:col>
      <xdr:colOff>361802</xdr:colOff>
      <xdr:row>30</xdr:row>
      <xdr:rowOff>14767</xdr:rowOff>
    </xdr:from>
    <xdr:to>
      <xdr:col>11</xdr:col>
      <xdr:colOff>398721</xdr:colOff>
      <xdr:row>40</xdr:row>
      <xdr:rowOff>110757</xdr:rowOff>
    </xdr:to>
    <xdr:graphicFrame macro="">
      <xdr:nvGraphicFramePr>
        <xdr:cNvPr id="22" name="Chart 21">
          <a:extLst>
            <a:ext uri="{FF2B5EF4-FFF2-40B4-BE49-F238E27FC236}">
              <a16:creationId xmlns:a16="http://schemas.microsoft.com/office/drawing/2014/main" id="{AC0064A1-FDFB-4BEB-86EF-426FB5FF1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30</xdr:row>
      <xdr:rowOff>44303</xdr:rowOff>
    </xdr:from>
    <xdr:to>
      <xdr:col>18</xdr:col>
      <xdr:colOff>191977</xdr:colOff>
      <xdr:row>40</xdr:row>
      <xdr:rowOff>125523</xdr:rowOff>
    </xdr:to>
    <xdr:graphicFrame macro="">
      <xdr:nvGraphicFramePr>
        <xdr:cNvPr id="23" name="Chart 22">
          <a:extLst>
            <a:ext uri="{FF2B5EF4-FFF2-40B4-BE49-F238E27FC236}">
              <a16:creationId xmlns:a16="http://schemas.microsoft.com/office/drawing/2014/main" id="{55B82788-BA9D-41CD-AF31-4029DE406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280582</xdr:colOff>
      <xdr:row>41</xdr:row>
      <xdr:rowOff>125523</xdr:rowOff>
    </xdr:from>
    <xdr:to>
      <xdr:col>11</xdr:col>
      <xdr:colOff>598082</xdr:colOff>
      <xdr:row>53</xdr:row>
      <xdr:rowOff>95988</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B3BD0B7D-C850-4497-AA53-4E2F388CC1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938182" y="7675673"/>
              <a:ext cx="3365500" cy="218026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199361</xdr:colOff>
      <xdr:row>42</xdr:row>
      <xdr:rowOff>1</xdr:rowOff>
    </xdr:from>
    <xdr:to>
      <xdr:col>18</xdr:col>
      <xdr:colOff>110757</xdr:colOff>
      <xdr:row>53</xdr:row>
      <xdr:rowOff>95990</xdr:rowOff>
    </xdr:to>
    <xdr:graphicFrame macro="">
      <xdr:nvGraphicFramePr>
        <xdr:cNvPr id="25" name="Chart 24">
          <a:extLst>
            <a:ext uri="{FF2B5EF4-FFF2-40B4-BE49-F238E27FC236}">
              <a16:creationId xmlns:a16="http://schemas.microsoft.com/office/drawing/2014/main" id="{FC53093A-8A75-40AA-8033-4D7EFDBAF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302383</xdr:colOff>
      <xdr:row>54</xdr:row>
      <xdr:rowOff>48382</xdr:rowOff>
    </xdr:from>
    <xdr:to>
      <xdr:col>12</xdr:col>
      <xdr:colOff>381002</xdr:colOff>
      <xdr:row>65</xdr:row>
      <xdr:rowOff>90714</xdr:rowOff>
    </xdr:to>
    <xdr:graphicFrame macro="">
      <xdr:nvGraphicFramePr>
        <xdr:cNvPr id="26" name="Chart 25">
          <a:extLst>
            <a:ext uri="{FF2B5EF4-FFF2-40B4-BE49-F238E27FC236}">
              <a16:creationId xmlns:a16="http://schemas.microsoft.com/office/drawing/2014/main" id="{B3890E34-93CB-4DA1-9414-44F8F17E6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xdr:colOff>
      <xdr:row>54</xdr:row>
      <xdr:rowOff>54428</xdr:rowOff>
    </xdr:from>
    <xdr:to>
      <xdr:col>18</xdr:col>
      <xdr:colOff>314478</xdr:colOff>
      <xdr:row>65</xdr:row>
      <xdr:rowOff>84667</xdr:rowOff>
    </xdr:to>
    <xdr:graphicFrame macro="">
      <xdr:nvGraphicFramePr>
        <xdr:cNvPr id="27" name="Chart 26">
          <a:extLst>
            <a:ext uri="{FF2B5EF4-FFF2-40B4-BE49-F238E27FC236}">
              <a16:creationId xmlns:a16="http://schemas.microsoft.com/office/drawing/2014/main" id="{C6E213D3-9B38-498C-B585-176F66FDC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551615</xdr:colOff>
      <xdr:row>66</xdr:row>
      <xdr:rowOff>32071</xdr:rowOff>
    </xdr:from>
    <xdr:to>
      <xdr:col>18</xdr:col>
      <xdr:colOff>192423</xdr:colOff>
      <xdr:row>70</xdr:row>
      <xdr:rowOff>109040</xdr:rowOff>
    </xdr:to>
    <xdr:sp macro="" textlink="">
      <xdr:nvSpPr>
        <xdr:cNvPr id="33" name="Rectangle 32">
          <a:extLst>
            <a:ext uri="{FF2B5EF4-FFF2-40B4-BE49-F238E27FC236}">
              <a16:creationId xmlns:a16="http://schemas.microsoft.com/office/drawing/2014/main" id="{973C541C-1C0D-BBDA-8C89-C86A4F7219A6}"/>
            </a:ext>
          </a:extLst>
        </xdr:cNvPr>
        <xdr:cNvSpPr/>
      </xdr:nvSpPr>
      <xdr:spPr>
        <a:xfrm>
          <a:off x="4207676" y="12308738"/>
          <a:ext cx="6952929" cy="821009"/>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INSIGHTS-</a:t>
          </a:r>
        </a:p>
        <a:p>
          <a:pPr algn="l"/>
          <a:r>
            <a:rPr lang="en-IN" sz="1100">
              <a:solidFill>
                <a:schemeClr val="tx1"/>
              </a:solidFill>
            </a:rPr>
            <a:t>-GIT HUB is</a:t>
          </a:r>
          <a:r>
            <a:rPr lang="en-IN" sz="1100" baseline="0">
              <a:solidFill>
                <a:schemeClr val="tx1"/>
              </a:solidFill>
            </a:rPr>
            <a:t> most popular. Students using Claude 3.5 and Gemini Pro often shows higherGPA improvement.Many students saved between 7-15 hrs weekly showing AI efficiency.Career confidence increased but ethical concern varied, some students expressed high concern about AI ethics.</a:t>
          </a:r>
          <a:endParaRPr lang="en-IN" sz="1100">
            <a:solidFill>
              <a:schemeClr val="tx1"/>
            </a:solidFill>
          </a:endParaRPr>
        </a:p>
      </xdr:txBody>
    </xdr:sp>
    <xdr:clientData/>
  </xdr:twoCellAnchor>
  <xdr:twoCellAnchor editAs="oneCell">
    <xdr:from>
      <xdr:col>3</xdr:col>
      <xdr:colOff>53109</xdr:colOff>
      <xdr:row>27</xdr:row>
      <xdr:rowOff>19948</xdr:rowOff>
    </xdr:from>
    <xdr:to>
      <xdr:col>6</xdr:col>
      <xdr:colOff>53878</xdr:colOff>
      <xdr:row>36</xdr:row>
      <xdr:rowOff>83384</xdr:rowOff>
    </xdr:to>
    <mc:AlternateContent xmlns:mc="http://schemas.openxmlformats.org/markup-compatibility/2006" xmlns:a14="http://schemas.microsoft.com/office/drawing/2010/main">
      <mc:Choice Requires="a14">
        <xdr:graphicFrame macro="">
          <xdr:nvGraphicFramePr>
            <xdr:cNvPr id="34" name="Primary_AI_Tool">
              <a:extLst>
                <a:ext uri="{FF2B5EF4-FFF2-40B4-BE49-F238E27FC236}">
                  <a16:creationId xmlns:a16="http://schemas.microsoft.com/office/drawing/2014/main" id="{32702D9D-09A3-5AA5-E74B-BE86D0403EE0}"/>
                </a:ext>
              </a:extLst>
            </xdr:cNvPr>
            <xdr:cNvGraphicFramePr/>
          </xdr:nvGraphicFramePr>
          <xdr:xfrm>
            <a:off x="0" y="0"/>
            <a:ext cx="0" cy="0"/>
          </xdr:xfrm>
          <a:graphic>
            <a:graphicData uri="http://schemas.microsoft.com/office/drawing/2010/slicer">
              <sle:slicer xmlns:sle="http://schemas.microsoft.com/office/drawing/2010/slicer" name="Primary_AI_Tool"/>
            </a:graphicData>
          </a:graphic>
        </xdr:graphicFrame>
      </mc:Choice>
      <mc:Fallback xmlns="">
        <xdr:sp macro="" textlink="">
          <xdr:nvSpPr>
            <xdr:cNvPr id="0" name=""/>
            <xdr:cNvSpPr>
              <a:spLocks noTextEdit="1"/>
            </xdr:cNvSpPr>
          </xdr:nvSpPr>
          <xdr:spPr>
            <a:xfrm>
              <a:off x="1881139" y="5042221"/>
              <a:ext cx="1828800" cy="17375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50673</xdr:colOff>
      <xdr:row>19</xdr:row>
      <xdr:rowOff>55804</xdr:rowOff>
    </xdr:from>
    <xdr:to>
      <xdr:col>6</xdr:col>
      <xdr:colOff>51442</xdr:colOff>
      <xdr:row>26</xdr:row>
      <xdr:rowOff>141111</xdr:rowOff>
    </xdr:to>
    <mc:AlternateContent xmlns:mc="http://schemas.openxmlformats.org/markup-compatibility/2006" xmlns:a14="http://schemas.microsoft.com/office/drawing/2010/main">
      <mc:Choice Requires="a14">
        <xdr:graphicFrame macro="">
          <xdr:nvGraphicFramePr>
            <xdr:cNvPr id="28" name="AI_Ethics_Concern">
              <a:extLst>
                <a:ext uri="{FF2B5EF4-FFF2-40B4-BE49-F238E27FC236}">
                  <a16:creationId xmlns:a16="http://schemas.microsoft.com/office/drawing/2014/main" id="{91A28C5C-6A1A-1D74-D61B-91DADB902194}"/>
                </a:ext>
              </a:extLst>
            </xdr:cNvPr>
            <xdr:cNvGraphicFramePr/>
          </xdr:nvGraphicFramePr>
          <xdr:xfrm>
            <a:off x="0" y="0"/>
            <a:ext cx="0" cy="0"/>
          </xdr:xfrm>
          <a:graphic>
            <a:graphicData uri="http://schemas.microsoft.com/office/drawing/2010/slicer">
              <sle:slicer xmlns:sle="http://schemas.microsoft.com/office/drawing/2010/slicer" name="AI_Ethics_Concern"/>
            </a:graphicData>
          </a:graphic>
        </xdr:graphicFrame>
      </mc:Choice>
      <mc:Fallback xmlns="">
        <xdr:sp macro="" textlink="">
          <xdr:nvSpPr>
            <xdr:cNvPr id="0" name=""/>
            <xdr:cNvSpPr>
              <a:spLocks noTextEdit="1"/>
            </xdr:cNvSpPr>
          </xdr:nvSpPr>
          <xdr:spPr>
            <a:xfrm>
              <a:off x="1878703" y="3589996"/>
              <a:ext cx="1828800" cy="1387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69914</xdr:colOff>
      <xdr:row>37</xdr:row>
      <xdr:rowOff>6927</xdr:rowOff>
    </xdr:from>
    <xdr:to>
      <xdr:col>6</xdr:col>
      <xdr:colOff>70683</xdr:colOff>
      <xdr:row>47</xdr:row>
      <xdr:rowOff>141111</xdr:rowOff>
    </xdr:to>
    <mc:AlternateContent xmlns:mc="http://schemas.openxmlformats.org/markup-compatibility/2006" xmlns:a14="http://schemas.microsoft.com/office/drawing/2010/main">
      <mc:Choice Requires="a14">
        <xdr:graphicFrame macro="">
          <xdr:nvGraphicFramePr>
            <xdr:cNvPr id="29" name="Major">
              <a:extLst>
                <a:ext uri="{FF2B5EF4-FFF2-40B4-BE49-F238E27FC236}">
                  <a16:creationId xmlns:a16="http://schemas.microsoft.com/office/drawing/2014/main" id="{31E906DA-19B3-01AA-5682-2668C84F11DC}"/>
                </a:ext>
              </a:extLst>
            </xdr:cNvPr>
            <xdr:cNvGraphicFramePr/>
          </xdr:nvGraphicFramePr>
          <xdr:xfrm>
            <a:off x="0" y="0"/>
            <a:ext cx="0" cy="0"/>
          </xdr:xfrm>
          <a:graphic>
            <a:graphicData uri="http://schemas.microsoft.com/office/drawing/2010/slicer">
              <sle:slicer xmlns:sle="http://schemas.microsoft.com/office/drawing/2010/slicer" name="Major"/>
            </a:graphicData>
          </a:graphic>
        </xdr:graphicFrame>
      </mc:Choice>
      <mc:Fallback xmlns="">
        <xdr:sp macro="" textlink="">
          <xdr:nvSpPr>
            <xdr:cNvPr id="0" name=""/>
            <xdr:cNvSpPr>
              <a:spLocks noTextEdit="1"/>
            </xdr:cNvSpPr>
          </xdr:nvSpPr>
          <xdr:spPr>
            <a:xfrm>
              <a:off x="1897944" y="6889301"/>
              <a:ext cx="1828800" cy="1994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III" refreshedDate="46149.710950694447" createdVersion="8" refreshedVersion="8" minRefreshableVersion="3" recordCount="499" xr:uid="{BD9D6FE8-57AD-496D-9160-9CDFAE067B91}">
  <cacheSource type="worksheet">
    <worksheetSource ref="A1:M500" sheet="data"/>
  </cacheSource>
  <cacheFields count="13">
    <cacheField name="Student_ID" numFmtId="0">
      <sharedItems/>
    </cacheField>
    <cacheField name="Age" numFmtId="0">
      <sharedItems containsSemiMixedTypes="0" containsString="0" containsNumber="1" containsInteger="1" minValue="18" maxValue="25" count="8">
        <n v="23"/>
        <n v="22"/>
        <n v="18"/>
        <n v="19"/>
        <n v="20"/>
        <n v="24"/>
        <n v="21"/>
        <n v="25"/>
      </sharedItems>
    </cacheField>
    <cacheField name="Major" numFmtId="0">
      <sharedItems count="6">
        <s v="Software Engineering"/>
        <s v="Modern History"/>
        <s v="Data Science"/>
        <s v="Biology"/>
        <s v="Business Administration"/>
        <s v="Fine Arts"/>
      </sharedItems>
    </cacheField>
    <cacheField name="Primary_AI_Tool" numFmtId="0">
      <sharedItems count="5">
        <s v="Gemini Pro"/>
        <s v="GitHub Copilot"/>
        <s v="Perplexity"/>
        <s v="Claude 3.5"/>
        <s v="ChatGPT-4o"/>
      </sharedItems>
    </cacheField>
    <cacheField name="Task_Frequency_Daily" numFmtId="0">
      <sharedItems containsSemiMixedTypes="0" containsString="0" containsNumber="1" containsInteger="1" minValue="1" maxValue="10" count="10">
        <n v="1"/>
        <n v="3"/>
        <n v="2"/>
        <n v="5"/>
        <n v="10"/>
        <n v="4"/>
        <n v="8"/>
        <n v="9"/>
        <n v="6"/>
        <n v="7"/>
      </sharedItems>
    </cacheField>
    <cacheField name="Main_Usage_Case" numFmtId="0">
      <sharedItems/>
    </cacheField>
    <cacheField name="GPA_Baseline" numFmtId="0">
      <sharedItems containsSemiMixedTypes="0" containsString="0" containsNumber="1" minValue="2.5" maxValue="4"/>
    </cacheField>
    <cacheField name="GPA_Post_AI" numFmtId="0">
      <sharedItems containsSemiMixedTypes="0" containsString="0" containsNumber="1" minValue="2.42" maxValue="4"/>
    </cacheField>
    <cacheField name="GPA Increase" numFmtId="0">
      <sharedItems containsSemiMixedTypes="0" containsString="0" containsNumber="1" minValue="-0.10000000000000009" maxValue="0.30000000000000027"/>
    </cacheField>
    <cacheField name="Time_Saved_Hours_Weekly" numFmtId="0">
      <sharedItems containsSemiMixedTypes="0" containsString="0" containsNumber="1" containsInteger="1" minValue="2" maxValue="15"/>
    </cacheField>
    <cacheField name="AI_Ethics_Concern" numFmtId="0">
      <sharedItems count="3">
        <s v="Medium"/>
        <s v="High"/>
        <s v="Low"/>
      </sharedItems>
    </cacheField>
    <cacheField name="Career_Confidence_Score" numFmtId="0">
      <sharedItems containsSemiMixedTypes="0" containsString="0" containsNumber="1" containsInteger="1" minValue="1" maxValue="10" count="10">
        <n v="3"/>
        <n v="4"/>
        <n v="7"/>
        <n v="5"/>
        <n v="9"/>
        <n v="1"/>
        <n v="8"/>
        <n v="10"/>
        <n v="2"/>
        <n v="6"/>
      </sharedItems>
    </cacheField>
    <cacheField name="State" numFmtId="0">
      <sharedItems count="16">
        <s v="Karnataka"/>
        <s v="Haryana"/>
        <s v="Rajasthan"/>
        <s v="Odisha"/>
        <s v="Andhra Pradesh"/>
        <s v="Delhi"/>
        <s v="Uttar Pradesh"/>
        <s v="Punjab"/>
        <s v="Madhya Pradesh"/>
        <s v="Kerala"/>
        <s v="Tamil Nadu"/>
        <s v="Bihar"/>
        <s v="Telangana"/>
        <s v="Gujarat"/>
        <s v="West Bengal"/>
        <s v="Maharashtra"/>
      </sharedItems>
    </cacheField>
  </cacheFields>
  <extLst>
    <ext xmlns:x14="http://schemas.microsoft.com/office/spreadsheetml/2009/9/main" uri="{725AE2AE-9491-48be-B2B4-4EB974FC3084}">
      <x14:pivotCacheDefinition pivotCacheId="177919263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III" refreshedDate="46151.327519560182" createdVersion="8" refreshedVersion="8" minRefreshableVersion="3" recordCount="499" xr:uid="{1F251A15-2092-4369-982B-60A871820F0B}">
  <cacheSource type="worksheet">
    <worksheetSource name="Table1"/>
  </cacheSource>
  <cacheFields count="14">
    <cacheField name="Student_ID" numFmtId="0">
      <sharedItems/>
    </cacheField>
    <cacheField name="Age" numFmtId="0">
      <sharedItems containsSemiMixedTypes="0" containsString="0" containsNumber="1" containsInteger="1" minValue="18" maxValue="25"/>
    </cacheField>
    <cacheField name="Major" numFmtId="0">
      <sharedItems count="6">
        <s v="Software Engineering"/>
        <s v="Modern History"/>
        <s v="Data Science"/>
        <s v="Biology"/>
        <s v="Business Administration"/>
        <s v="Fine Arts"/>
      </sharedItems>
    </cacheField>
    <cacheField name="Primary_AI_Tool" numFmtId="0">
      <sharedItems count="5">
        <s v="Gemini Pro"/>
        <s v="GitHub Copilot"/>
        <s v="Perplexity"/>
        <s v="Claude 3.5"/>
        <s v="ChatGPT-4o"/>
      </sharedItems>
    </cacheField>
    <cacheField name="Task_Frequency_Daily" numFmtId="0">
      <sharedItems containsSemiMixedTypes="0" containsString="0" containsNumber="1" containsInteger="1" minValue="1" maxValue="10"/>
    </cacheField>
    <cacheField name="Main_Usage_Case" numFmtId="0">
      <sharedItems/>
    </cacheField>
    <cacheField name="GPA_Baseline" numFmtId="0">
      <sharedItems containsSemiMixedTypes="0" containsString="0" containsNumber="1" minValue="2.5" maxValue="4"/>
    </cacheField>
    <cacheField name="GPA_Post_AI" numFmtId="0">
      <sharedItems containsSemiMixedTypes="0" containsString="0" containsNumber="1" minValue="2.42" maxValue="4"/>
    </cacheField>
    <cacheField name="GPA Increase" numFmtId="0">
      <sharedItems containsSemiMixedTypes="0" containsString="0" containsNumber="1" minValue="-0.10000000000000009" maxValue="0.30000000000000027"/>
    </cacheField>
    <cacheField name="Time_Saved_Hours_Weekly" numFmtId="0">
      <sharedItems containsSemiMixedTypes="0" containsString="0" containsNumber="1" containsInteger="1" minValue="2" maxValue="15"/>
    </cacheField>
    <cacheField name="AI_Ethics_Concern" numFmtId="0">
      <sharedItems count="3">
        <s v="Medium"/>
        <s v="High"/>
        <s v="Low"/>
      </sharedItems>
    </cacheField>
    <cacheField name="Career_Confidence_Score" numFmtId="0">
      <sharedItems containsSemiMixedTypes="0" containsString="0" containsNumber="1" containsInteger="1" minValue="1" maxValue="10"/>
    </cacheField>
    <cacheField name="State" numFmtId="0">
      <sharedItems/>
    </cacheField>
    <cacheField name="Age group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STU-6019"/>
    <x v="0"/>
    <x v="0"/>
    <x v="0"/>
    <x v="0"/>
    <s v="Code Debugging"/>
    <n v="2.62"/>
    <n v="2.62"/>
    <n v="0"/>
    <n v="9"/>
    <x v="0"/>
    <x v="0"/>
    <x v="0"/>
  </r>
  <r>
    <s v="STU-6962"/>
    <x v="1"/>
    <x v="1"/>
    <x v="1"/>
    <x v="1"/>
    <s v="Essay Drafting"/>
    <n v="3.99"/>
    <n v="4"/>
    <n v="9.9999999999997868E-3"/>
    <n v="7"/>
    <x v="0"/>
    <x v="1"/>
    <x v="1"/>
  </r>
  <r>
    <s v="STU-2338"/>
    <x v="2"/>
    <x v="2"/>
    <x v="2"/>
    <x v="2"/>
    <s v="Literature Review"/>
    <n v="2.57"/>
    <n v="2.57"/>
    <n v="0"/>
    <n v="15"/>
    <x v="1"/>
    <x v="2"/>
    <x v="2"/>
  </r>
  <r>
    <s v="STU-1380"/>
    <x v="3"/>
    <x v="3"/>
    <x v="3"/>
    <x v="3"/>
    <s v="Essay Drafting"/>
    <n v="2.67"/>
    <n v="2.87"/>
    <n v="0.20000000000000018"/>
    <n v="12"/>
    <x v="2"/>
    <x v="3"/>
    <x v="1"/>
  </r>
  <r>
    <s v="STU-1837"/>
    <x v="3"/>
    <x v="3"/>
    <x v="4"/>
    <x v="4"/>
    <s v="Code Debugging"/>
    <n v="3.65"/>
    <n v="3.85"/>
    <n v="0.20000000000000018"/>
    <n v="5"/>
    <x v="1"/>
    <x v="4"/>
    <x v="3"/>
  </r>
  <r>
    <s v="STU-0052"/>
    <x v="3"/>
    <x v="0"/>
    <x v="4"/>
    <x v="5"/>
    <s v="Essay Drafting"/>
    <n v="3.21"/>
    <n v="3.41"/>
    <n v="0.20000000000000018"/>
    <n v="8"/>
    <x v="0"/>
    <x v="1"/>
    <x v="4"/>
  </r>
  <r>
    <s v="STU-4953"/>
    <x v="3"/>
    <x v="4"/>
    <x v="1"/>
    <x v="0"/>
    <s v="Exam Prep"/>
    <n v="3.87"/>
    <n v="3.97"/>
    <n v="0.10000000000000009"/>
    <n v="7"/>
    <x v="2"/>
    <x v="5"/>
    <x v="0"/>
  </r>
  <r>
    <s v="STU-1723"/>
    <x v="4"/>
    <x v="5"/>
    <x v="2"/>
    <x v="1"/>
    <s v="Exam Prep"/>
    <n v="3.18"/>
    <n v="3.08"/>
    <n v="-0.10000000000000009"/>
    <n v="2"/>
    <x v="0"/>
    <x v="4"/>
    <x v="5"/>
  </r>
  <r>
    <s v="STU-5100"/>
    <x v="4"/>
    <x v="5"/>
    <x v="4"/>
    <x v="0"/>
    <s v="Literature Review"/>
    <n v="3.25"/>
    <n v="3.35"/>
    <n v="0.10000000000000009"/>
    <n v="13"/>
    <x v="0"/>
    <x v="6"/>
    <x v="6"/>
  </r>
  <r>
    <s v="STU-7291"/>
    <x v="3"/>
    <x v="5"/>
    <x v="1"/>
    <x v="3"/>
    <s v="Exam Prep"/>
    <n v="3.43"/>
    <n v="3.33"/>
    <n v="-0.10000000000000009"/>
    <n v="10"/>
    <x v="0"/>
    <x v="0"/>
    <x v="1"/>
  </r>
  <r>
    <s v="STU-9918"/>
    <x v="4"/>
    <x v="5"/>
    <x v="1"/>
    <x v="2"/>
    <s v="Essay Drafting"/>
    <n v="3.32"/>
    <n v="3.42"/>
    <n v="0.10000000000000009"/>
    <n v="8"/>
    <x v="1"/>
    <x v="1"/>
    <x v="7"/>
  </r>
  <r>
    <s v="STU-1753"/>
    <x v="5"/>
    <x v="0"/>
    <x v="3"/>
    <x v="5"/>
    <s v="Essay Drafting"/>
    <n v="2.93"/>
    <n v="3.23"/>
    <n v="0.29999999999999982"/>
    <n v="6"/>
    <x v="2"/>
    <x v="7"/>
    <x v="8"/>
  </r>
  <r>
    <s v="STU-6394"/>
    <x v="0"/>
    <x v="1"/>
    <x v="4"/>
    <x v="0"/>
    <s v="Code Debugging"/>
    <n v="3.55"/>
    <n v="3.75"/>
    <n v="0.20000000000000018"/>
    <n v="6"/>
    <x v="2"/>
    <x v="1"/>
    <x v="9"/>
  </r>
  <r>
    <s v="STU-1374"/>
    <x v="2"/>
    <x v="3"/>
    <x v="1"/>
    <x v="3"/>
    <s v="Essay Drafting"/>
    <n v="3.9"/>
    <n v="4"/>
    <n v="0.10000000000000009"/>
    <n v="14"/>
    <x v="2"/>
    <x v="0"/>
    <x v="9"/>
  </r>
  <r>
    <s v="STU-1277"/>
    <x v="2"/>
    <x v="5"/>
    <x v="3"/>
    <x v="5"/>
    <s v="Exam Prep"/>
    <n v="3.88"/>
    <n v="3.88"/>
    <n v="0"/>
    <n v="5"/>
    <x v="2"/>
    <x v="3"/>
    <x v="3"/>
  </r>
  <r>
    <s v="STU-5643"/>
    <x v="0"/>
    <x v="2"/>
    <x v="1"/>
    <x v="5"/>
    <s v="Brainstorming"/>
    <n v="3.99"/>
    <n v="4"/>
    <n v="9.9999999999997868E-3"/>
    <n v="15"/>
    <x v="1"/>
    <x v="4"/>
    <x v="1"/>
  </r>
  <r>
    <s v="STU-3711"/>
    <x v="6"/>
    <x v="1"/>
    <x v="4"/>
    <x v="5"/>
    <s v="Code Debugging"/>
    <n v="3.32"/>
    <n v="3.32"/>
    <n v="0"/>
    <n v="5"/>
    <x v="2"/>
    <x v="4"/>
    <x v="8"/>
  </r>
  <r>
    <s v="STU-9571"/>
    <x v="4"/>
    <x v="4"/>
    <x v="2"/>
    <x v="3"/>
    <s v="Code Debugging"/>
    <n v="2.66"/>
    <n v="2.76"/>
    <n v="9.9999999999999645E-2"/>
    <n v="13"/>
    <x v="1"/>
    <x v="3"/>
    <x v="0"/>
  </r>
  <r>
    <s v="STU-6603"/>
    <x v="0"/>
    <x v="3"/>
    <x v="1"/>
    <x v="4"/>
    <s v="Code Debugging"/>
    <n v="3.14"/>
    <n v="3.14"/>
    <n v="0"/>
    <n v="2"/>
    <x v="1"/>
    <x v="7"/>
    <x v="10"/>
  </r>
  <r>
    <s v="STU-4838"/>
    <x v="3"/>
    <x v="3"/>
    <x v="1"/>
    <x v="0"/>
    <s v="Essay Drafting"/>
    <n v="3.54"/>
    <n v="3.64"/>
    <n v="0.10000000000000009"/>
    <n v="6"/>
    <x v="1"/>
    <x v="0"/>
    <x v="1"/>
  </r>
  <r>
    <s v="STU-4860"/>
    <x v="6"/>
    <x v="0"/>
    <x v="1"/>
    <x v="3"/>
    <s v="Brainstorming"/>
    <n v="2.56"/>
    <n v="2.46"/>
    <n v="-0.10000000000000009"/>
    <n v="3"/>
    <x v="1"/>
    <x v="5"/>
    <x v="3"/>
  </r>
  <r>
    <s v="STU-0499"/>
    <x v="3"/>
    <x v="3"/>
    <x v="0"/>
    <x v="4"/>
    <s v="Brainstorming"/>
    <n v="3.03"/>
    <n v="3.03"/>
    <n v="0"/>
    <n v="2"/>
    <x v="2"/>
    <x v="3"/>
    <x v="11"/>
  </r>
  <r>
    <s v="STU-4002"/>
    <x v="1"/>
    <x v="0"/>
    <x v="4"/>
    <x v="1"/>
    <s v="Code Debugging"/>
    <n v="3.45"/>
    <n v="3.65"/>
    <n v="0.19999999999999973"/>
    <n v="7"/>
    <x v="1"/>
    <x v="6"/>
    <x v="12"/>
  </r>
  <r>
    <s v="STU-5578"/>
    <x v="6"/>
    <x v="3"/>
    <x v="1"/>
    <x v="5"/>
    <s v="Brainstorming"/>
    <n v="3.04"/>
    <n v="3.24"/>
    <n v="0.20000000000000018"/>
    <n v="10"/>
    <x v="0"/>
    <x v="8"/>
    <x v="1"/>
  </r>
  <r>
    <s v="STU-9514"/>
    <x v="0"/>
    <x v="4"/>
    <x v="0"/>
    <x v="2"/>
    <s v="Brainstorming"/>
    <n v="2.99"/>
    <n v="3.19"/>
    <n v="0.19999999999999973"/>
    <n v="13"/>
    <x v="2"/>
    <x v="2"/>
    <x v="12"/>
  </r>
  <r>
    <s v="STU-8919"/>
    <x v="0"/>
    <x v="1"/>
    <x v="3"/>
    <x v="1"/>
    <s v="Brainstorming"/>
    <n v="3.28"/>
    <n v="3.18"/>
    <n v="-9.9999999999999645E-2"/>
    <n v="4"/>
    <x v="0"/>
    <x v="3"/>
    <x v="7"/>
  </r>
  <r>
    <s v="STU-0115"/>
    <x v="1"/>
    <x v="4"/>
    <x v="3"/>
    <x v="3"/>
    <s v="Essay Drafting"/>
    <n v="2.79"/>
    <n v="2.89"/>
    <n v="0.10000000000000009"/>
    <n v="5"/>
    <x v="0"/>
    <x v="5"/>
    <x v="3"/>
  </r>
  <r>
    <s v="STU-5610"/>
    <x v="1"/>
    <x v="2"/>
    <x v="1"/>
    <x v="1"/>
    <s v="Code Debugging"/>
    <n v="3.41"/>
    <n v="3.31"/>
    <n v="-0.10000000000000009"/>
    <n v="2"/>
    <x v="2"/>
    <x v="3"/>
    <x v="8"/>
  </r>
  <r>
    <s v="STU-1960"/>
    <x v="4"/>
    <x v="5"/>
    <x v="1"/>
    <x v="0"/>
    <s v="Exam Prep"/>
    <n v="3.67"/>
    <n v="3.67"/>
    <n v="0"/>
    <n v="11"/>
    <x v="1"/>
    <x v="8"/>
    <x v="4"/>
  </r>
  <r>
    <s v="STU-1431"/>
    <x v="0"/>
    <x v="1"/>
    <x v="0"/>
    <x v="6"/>
    <s v="Literature Review"/>
    <n v="2.76"/>
    <n v="2.66"/>
    <n v="-9.9999999999999645E-2"/>
    <n v="14"/>
    <x v="1"/>
    <x v="1"/>
    <x v="13"/>
  </r>
  <r>
    <s v="STU-6178"/>
    <x v="5"/>
    <x v="3"/>
    <x v="0"/>
    <x v="5"/>
    <s v="Code Debugging"/>
    <n v="3.08"/>
    <n v="3.18"/>
    <n v="0.10000000000000009"/>
    <n v="4"/>
    <x v="2"/>
    <x v="6"/>
    <x v="3"/>
  </r>
  <r>
    <s v="STU-5367"/>
    <x v="2"/>
    <x v="4"/>
    <x v="4"/>
    <x v="0"/>
    <s v="Brainstorming"/>
    <n v="3.57"/>
    <n v="3.67"/>
    <n v="0.10000000000000009"/>
    <n v="3"/>
    <x v="1"/>
    <x v="1"/>
    <x v="5"/>
  </r>
  <r>
    <s v="STU-2322"/>
    <x v="4"/>
    <x v="4"/>
    <x v="3"/>
    <x v="4"/>
    <s v="Brainstorming"/>
    <n v="2.9"/>
    <n v="3.1"/>
    <n v="0.20000000000000018"/>
    <n v="13"/>
    <x v="2"/>
    <x v="9"/>
    <x v="4"/>
  </r>
  <r>
    <s v="STU-8378"/>
    <x v="6"/>
    <x v="3"/>
    <x v="0"/>
    <x v="1"/>
    <s v="Literature Review"/>
    <n v="3.47"/>
    <n v="3.47"/>
    <n v="0"/>
    <n v="12"/>
    <x v="0"/>
    <x v="6"/>
    <x v="9"/>
  </r>
  <r>
    <s v="STU-4921"/>
    <x v="0"/>
    <x v="2"/>
    <x v="0"/>
    <x v="1"/>
    <s v="Code Debugging"/>
    <n v="3.04"/>
    <n v="3.24"/>
    <n v="0.20000000000000018"/>
    <n v="9"/>
    <x v="2"/>
    <x v="4"/>
    <x v="10"/>
  </r>
  <r>
    <s v="STU-1914"/>
    <x v="1"/>
    <x v="4"/>
    <x v="3"/>
    <x v="5"/>
    <s v="Code Debugging"/>
    <n v="3.27"/>
    <n v="3.17"/>
    <n v="-0.10000000000000009"/>
    <n v="11"/>
    <x v="1"/>
    <x v="2"/>
    <x v="1"/>
  </r>
  <r>
    <s v="STU-5032"/>
    <x v="6"/>
    <x v="0"/>
    <x v="3"/>
    <x v="7"/>
    <s v="Brainstorming"/>
    <n v="2.56"/>
    <n v="2.86"/>
    <n v="0.29999999999999982"/>
    <n v="15"/>
    <x v="0"/>
    <x v="1"/>
    <x v="9"/>
  </r>
  <r>
    <s v="STU-6816"/>
    <x v="5"/>
    <x v="3"/>
    <x v="1"/>
    <x v="8"/>
    <s v="Essay Drafting"/>
    <n v="2.89"/>
    <n v="3.19"/>
    <n v="0.29999999999999982"/>
    <n v="11"/>
    <x v="2"/>
    <x v="5"/>
    <x v="12"/>
  </r>
  <r>
    <s v="STU-3832"/>
    <x v="1"/>
    <x v="3"/>
    <x v="1"/>
    <x v="6"/>
    <s v="Code Debugging"/>
    <n v="3.82"/>
    <n v="3.72"/>
    <n v="-9.9999999999999645E-2"/>
    <n v="11"/>
    <x v="0"/>
    <x v="4"/>
    <x v="13"/>
  </r>
  <r>
    <s v="STU-1539"/>
    <x v="0"/>
    <x v="4"/>
    <x v="0"/>
    <x v="5"/>
    <s v="Brainstorming"/>
    <n v="3.99"/>
    <n v="4"/>
    <n v="9.9999999999997868E-3"/>
    <n v="2"/>
    <x v="2"/>
    <x v="0"/>
    <x v="6"/>
  </r>
  <r>
    <s v="STU-4811"/>
    <x v="1"/>
    <x v="5"/>
    <x v="3"/>
    <x v="1"/>
    <s v="Code Debugging"/>
    <n v="3.46"/>
    <n v="3.76"/>
    <n v="0.29999999999999982"/>
    <n v="3"/>
    <x v="0"/>
    <x v="6"/>
    <x v="7"/>
  </r>
  <r>
    <s v="STU-1992"/>
    <x v="4"/>
    <x v="5"/>
    <x v="1"/>
    <x v="3"/>
    <s v="Essay Drafting"/>
    <n v="2.89"/>
    <n v="2.79"/>
    <n v="-0.10000000000000009"/>
    <n v="7"/>
    <x v="1"/>
    <x v="2"/>
    <x v="14"/>
  </r>
  <r>
    <s v="STU-5235"/>
    <x v="4"/>
    <x v="4"/>
    <x v="1"/>
    <x v="9"/>
    <s v="Code Debugging"/>
    <n v="2.99"/>
    <n v="3.19"/>
    <n v="0.19999999999999973"/>
    <n v="3"/>
    <x v="2"/>
    <x v="0"/>
    <x v="2"/>
  </r>
  <r>
    <s v="STU-7720"/>
    <x v="6"/>
    <x v="3"/>
    <x v="1"/>
    <x v="4"/>
    <s v="Literature Review"/>
    <n v="2.84"/>
    <n v="2.84"/>
    <n v="0"/>
    <n v="5"/>
    <x v="2"/>
    <x v="1"/>
    <x v="5"/>
  </r>
  <r>
    <s v="STU-8242"/>
    <x v="0"/>
    <x v="4"/>
    <x v="0"/>
    <x v="6"/>
    <s v="Exam Prep"/>
    <n v="2.77"/>
    <n v="2.67"/>
    <n v="-0.10000000000000009"/>
    <n v="12"/>
    <x v="2"/>
    <x v="8"/>
    <x v="13"/>
  </r>
  <r>
    <s v="STU-6491"/>
    <x v="7"/>
    <x v="4"/>
    <x v="4"/>
    <x v="8"/>
    <s v="Essay Drafting"/>
    <n v="2.88"/>
    <n v="2.98"/>
    <n v="0.10000000000000009"/>
    <n v="6"/>
    <x v="2"/>
    <x v="6"/>
    <x v="6"/>
  </r>
  <r>
    <s v="STU-9757"/>
    <x v="0"/>
    <x v="0"/>
    <x v="0"/>
    <x v="2"/>
    <s v="Exam Prep"/>
    <n v="3.5"/>
    <n v="3.4"/>
    <n v="-0.10000000000000009"/>
    <n v="4"/>
    <x v="1"/>
    <x v="2"/>
    <x v="14"/>
  </r>
  <r>
    <s v="STU-6891"/>
    <x v="1"/>
    <x v="4"/>
    <x v="2"/>
    <x v="9"/>
    <s v="Brainstorming"/>
    <n v="3.92"/>
    <n v="4"/>
    <n v="8.0000000000000071E-2"/>
    <n v="14"/>
    <x v="1"/>
    <x v="5"/>
    <x v="10"/>
  </r>
  <r>
    <s v="STU-2000"/>
    <x v="7"/>
    <x v="5"/>
    <x v="2"/>
    <x v="3"/>
    <s v="Exam Prep"/>
    <n v="3.82"/>
    <n v="4"/>
    <n v="0.18000000000000016"/>
    <n v="5"/>
    <x v="1"/>
    <x v="3"/>
    <x v="0"/>
  </r>
  <r>
    <s v="STU-1936"/>
    <x v="4"/>
    <x v="0"/>
    <x v="2"/>
    <x v="2"/>
    <s v="Essay Drafting"/>
    <n v="3.58"/>
    <n v="3.68"/>
    <n v="0.10000000000000009"/>
    <n v="12"/>
    <x v="0"/>
    <x v="3"/>
    <x v="4"/>
  </r>
  <r>
    <s v="STU-0497"/>
    <x v="4"/>
    <x v="1"/>
    <x v="2"/>
    <x v="8"/>
    <s v="Literature Review"/>
    <n v="3.87"/>
    <n v="3.77"/>
    <n v="-0.10000000000000009"/>
    <n v="4"/>
    <x v="2"/>
    <x v="5"/>
    <x v="12"/>
  </r>
  <r>
    <s v="STU-4779"/>
    <x v="1"/>
    <x v="3"/>
    <x v="2"/>
    <x v="2"/>
    <s v="Literature Review"/>
    <n v="3.96"/>
    <n v="3.96"/>
    <n v="0"/>
    <n v="12"/>
    <x v="0"/>
    <x v="7"/>
    <x v="14"/>
  </r>
  <r>
    <s v="STU-5245"/>
    <x v="4"/>
    <x v="0"/>
    <x v="0"/>
    <x v="0"/>
    <s v="Brainstorming"/>
    <n v="3.51"/>
    <n v="3.81"/>
    <n v="0.30000000000000027"/>
    <n v="12"/>
    <x v="2"/>
    <x v="8"/>
    <x v="13"/>
  </r>
  <r>
    <s v="STU-1346"/>
    <x v="3"/>
    <x v="2"/>
    <x v="2"/>
    <x v="3"/>
    <s v="Essay Drafting"/>
    <n v="3.55"/>
    <n v="3.85"/>
    <n v="0.30000000000000027"/>
    <n v="5"/>
    <x v="1"/>
    <x v="9"/>
    <x v="15"/>
  </r>
  <r>
    <s v="STU-6672"/>
    <x v="6"/>
    <x v="4"/>
    <x v="2"/>
    <x v="2"/>
    <s v="Brainstorming"/>
    <n v="2.64"/>
    <n v="2.94"/>
    <n v="0.29999999999999982"/>
    <n v="11"/>
    <x v="1"/>
    <x v="7"/>
    <x v="11"/>
  </r>
  <r>
    <s v="STU-0732"/>
    <x v="6"/>
    <x v="3"/>
    <x v="1"/>
    <x v="3"/>
    <s v="Literature Review"/>
    <n v="3.17"/>
    <n v="3.27"/>
    <n v="0.10000000000000009"/>
    <n v="7"/>
    <x v="2"/>
    <x v="3"/>
    <x v="15"/>
  </r>
  <r>
    <s v="STU-9888"/>
    <x v="3"/>
    <x v="0"/>
    <x v="1"/>
    <x v="2"/>
    <s v="Literature Review"/>
    <n v="2.5"/>
    <n v="2.6"/>
    <n v="0.10000000000000009"/>
    <n v="3"/>
    <x v="2"/>
    <x v="9"/>
    <x v="8"/>
  </r>
  <r>
    <s v="STU-1040"/>
    <x v="1"/>
    <x v="5"/>
    <x v="1"/>
    <x v="5"/>
    <s v="Literature Review"/>
    <n v="2.81"/>
    <n v="3.11"/>
    <n v="0.29999999999999982"/>
    <n v="13"/>
    <x v="2"/>
    <x v="0"/>
    <x v="11"/>
  </r>
  <r>
    <s v="STU-1540"/>
    <x v="0"/>
    <x v="2"/>
    <x v="1"/>
    <x v="0"/>
    <s v="Exam Prep"/>
    <n v="3.93"/>
    <n v="4"/>
    <n v="6.999999999999984E-2"/>
    <n v="6"/>
    <x v="2"/>
    <x v="4"/>
    <x v="10"/>
  </r>
  <r>
    <s v="STU-5873"/>
    <x v="2"/>
    <x v="2"/>
    <x v="1"/>
    <x v="8"/>
    <s v="Brainstorming"/>
    <n v="2.61"/>
    <n v="2.5099999999999998"/>
    <n v="-0.10000000000000009"/>
    <n v="15"/>
    <x v="1"/>
    <x v="9"/>
    <x v="12"/>
  </r>
  <r>
    <s v="STU-4321"/>
    <x v="2"/>
    <x v="2"/>
    <x v="0"/>
    <x v="6"/>
    <s v="Brainstorming"/>
    <n v="3.89"/>
    <n v="4"/>
    <n v="0.10999999999999988"/>
    <n v="11"/>
    <x v="0"/>
    <x v="8"/>
    <x v="0"/>
  </r>
  <r>
    <s v="STU-9472"/>
    <x v="4"/>
    <x v="3"/>
    <x v="2"/>
    <x v="9"/>
    <s v="Code Debugging"/>
    <n v="2.98"/>
    <n v="2.88"/>
    <n v="-0.10000000000000009"/>
    <n v="7"/>
    <x v="2"/>
    <x v="4"/>
    <x v="2"/>
  </r>
  <r>
    <s v="STU-5793"/>
    <x v="5"/>
    <x v="5"/>
    <x v="2"/>
    <x v="2"/>
    <s v="Code Debugging"/>
    <n v="3.93"/>
    <n v="3.83"/>
    <n v="-0.10000000000000009"/>
    <n v="4"/>
    <x v="1"/>
    <x v="7"/>
    <x v="2"/>
  </r>
  <r>
    <s v="STU-7017"/>
    <x v="5"/>
    <x v="1"/>
    <x v="2"/>
    <x v="8"/>
    <s v="Essay Drafting"/>
    <n v="2.78"/>
    <n v="2.98"/>
    <n v="0.20000000000000018"/>
    <n v="11"/>
    <x v="2"/>
    <x v="3"/>
    <x v="14"/>
  </r>
  <r>
    <s v="STU-3405"/>
    <x v="7"/>
    <x v="1"/>
    <x v="1"/>
    <x v="5"/>
    <s v="Essay Drafting"/>
    <n v="3.5"/>
    <n v="3.4"/>
    <n v="-0.10000000000000009"/>
    <n v="9"/>
    <x v="0"/>
    <x v="5"/>
    <x v="10"/>
  </r>
  <r>
    <s v="STU-6036"/>
    <x v="5"/>
    <x v="0"/>
    <x v="4"/>
    <x v="3"/>
    <s v="Essay Drafting"/>
    <n v="3.31"/>
    <n v="3.41"/>
    <n v="0.10000000000000009"/>
    <n v="12"/>
    <x v="0"/>
    <x v="7"/>
    <x v="13"/>
  </r>
  <r>
    <s v="STU-0449"/>
    <x v="6"/>
    <x v="4"/>
    <x v="0"/>
    <x v="1"/>
    <s v="Code Debugging"/>
    <n v="2.73"/>
    <n v="2.73"/>
    <n v="0"/>
    <n v="12"/>
    <x v="2"/>
    <x v="9"/>
    <x v="14"/>
  </r>
  <r>
    <s v="STU-8756"/>
    <x v="2"/>
    <x v="4"/>
    <x v="1"/>
    <x v="9"/>
    <s v="Literature Review"/>
    <n v="3.12"/>
    <n v="3.42"/>
    <n v="0.29999999999999982"/>
    <n v="12"/>
    <x v="1"/>
    <x v="8"/>
    <x v="7"/>
  </r>
  <r>
    <s v="STU-7976"/>
    <x v="6"/>
    <x v="2"/>
    <x v="4"/>
    <x v="8"/>
    <s v="Exam Prep"/>
    <n v="3.83"/>
    <n v="4"/>
    <n v="0.16999999999999993"/>
    <n v="9"/>
    <x v="2"/>
    <x v="6"/>
    <x v="3"/>
  </r>
  <r>
    <s v="STU-3826"/>
    <x v="4"/>
    <x v="2"/>
    <x v="3"/>
    <x v="6"/>
    <s v="Code Debugging"/>
    <n v="2.88"/>
    <n v="3.18"/>
    <n v="0.30000000000000027"/>
    <n v="15"/>
    <x v="0"/>
    <x v="4"/>
    <x v="11"/>
  </r>
  <r>
    <s v="STU-2035"/>
    <x v="7"/>
    <x v="3"/>
    <x v="4"/>
    <x v="1"/>
    <s v="Literature Review"/>
    <n v="3.15"/>
    <n v="3.35"/>
    <n v="0.20000000000000018"/>
    <n v="11"/>
    <x v="1"/>
    <x v="5"/>
    <x v="12"/>
  </r>
  <r>
    <s v="STU-2123"/>
    <x v="7"/>
    <x v="3"/>
    <x v="2"/>
    <x v="2"/>
    <s v="Brainstorming"/>
    <n v="3.61"/>
    <n v="3.71"/>
    <n v="0.10000000000000009"/>
    <n v="11"/>
    <x v="1"/>
    <x v="7"/>
    <x v="5"/>
  </r>
  <r>
    <s v="STU-7860"/>
    <x v="4"/>
    <x v="3"/>
    <x v="3"/>
    <x v="2"/>
    <s v="Exam Prep"/>
    <n v="3.28"/>
    <n v="3.58"/>
    <n v="0.30000000000000027"/>
    <n v="9"/>
    <x v="1"/>
    <x v="6"/>
    <x v="5"/>
  </r>
  <r>
    <s v="STU-0300"/>
    <x v="5"/>
    <x v="1"/>
    <x v="4"/>
    <x v="9"/>
    <s v="Brainstorming"/>
    <n v="3.89"/>
    <n v="3.79"/>
    <n v="-0.10000000000000009"/>
    <n v="6"/>
    <x v="2"/>
    <x v="0"/>
    <x v="15"/>
  </r>
  <r>
    <s v="STU-7958"/>
    <x v="7"/>
    <x v="5"/>
    <x v="0"/>
    <x v="1"/>
    <s v="Essay Drafting"/>
    <n v="3.32"/>
    <n v="3.32"/>
    <n v="0"/>
    <n v="11"/>
    <x v="2"/>
    <x v="7"/>
    <x v="6"/>
  </r>
  <r>
    <s v="STU-3046"/>
    <x v="2"/>
    <x v="0"/>
    <x v="0"/>
    <x v="2"/>
    <s v="Exam Prep"/>
    <n v="3.18"/>
    <n v="3.18"/>
    <n v="0"/>
    <n v="8"/>
    <x v="0"/>
    <x v="2"/>
    <x v="7"/>
  </r>
  <r>
    <s v="STU-6674"/>
    <x v="1"/>
    <x v="2"/>
    <x v="1"/>
    <x v="7"/>
    <s v="Essay Drafting"/>
    <n v="3.15"/>
    <n v="3.45"/>
    <n v="0.30000000000000027"/>
    <n v="5"/>
    <x v="0"/>
    <x v="8"/>
    <x v="0"/>
  </r>
  <r>
    <s v="STU-5728"/>
    <x v="0"/>
    <x v="2"/>
    <x v="1"/>
    <x v="7"/>
    <s v="Brainstorming"/>
    <n v="3.45"/>
    <n v="3.65"/>
    <n v="0.19999999999999973"/>
    <n v="7"/>
    <x v="1"/>
    <x v="2"/>
    <x v="9"/>
  </r>
  <r>
    <s v="STU-5466"/>
    <x v="0"/>
    <x v="0"/>
    <x v="2"/>
    <x v="8"/>
    <s v="Brainstorming"/>
    <n v="3.87"/>
    <n v="3.87"/>
    <n v="0"/>
    <n v="5"/>
    <x v="0"/>
    <x v="9"/>
    <x v="4"/>
  </r>
  <r>
    <s v="STU-5790"/>
    <x v="1"/>
    <x v="0"/>
    <x v="0"/>
    <x v="3"/>
    <s v="Exam Prep"/>
    <n v="2.5499999999999998"/>
    <n v="2.4500000000000002"/>
    <n v="-9.9999999999999645E-2"/>
    <n v="2"/>
    <x v="2"/>
    <x v="8"/>
    <x v="10"/>
  </r>
  <r>
    <s v="STU-3538"/>
    <x v="2"/>
    <x v="3"/>
    <x v="1"/>
    <x v="8"/>
    <s v="Brainstorming"/>
    <n v="3.49"/>
    <n v="3.39"/>
    <n v="-0.10000000000000009"/>
    <n v="15"/>
    <x v="0"/>
    <x v="1"/>
    <x v="15"/>
  </r>
  <r>
    <s v="STU-1284"/>
    <x v="7"/>
    <x v="3"/>
    <x v="4"/>
    <x v="0"/>
    <s v="Essay Drafting"/>
    <n v="3.69"/>
    <n v="3.89"/>
    <n v="0.20000000000000018"/>
    <n v="13"/>
    <x v="0"/>
    <x v="6"/>
    <x v="2"/>
  </r>
  <r>
    <s v="STU-9579"/>
    <x v="1"/>
    <x v="1"/>
    <x v="4"/>
    <x v="3"/>
    <s v="Essay Drafting"/>
    <n v="3.76"/>
    <n v="3.66"/>
    <n v="-9.9999999999999645E-2"/>
    <n v="5"/>
    <x v="2"/>
    <x v="3"/>
    <x v="12"/>
  </r>
  <r>
    <s v="STU-3437"/>
    <x v="1"/>
    <x v="3"/>
    <x v="4"/>
    <x v="0"/>
    <s v="Literature Review"/>
    <n v="2.63"/>
    <n v="2.83"/>
    <n v="0.20000000000000018"/>
    <n v="13"/>
    <x v="0"/>
    <x v="1"/>
    <x v="11"/>
  </r>
  <r>
    <s v="STU-0540"/>
    <x v="5"/>
    <x v="0"/>
    <x v="0"/>
    <x v="9"/>
    <s v="Exam Prep"/>
    <n v="3.53"/>
    <n v="3.53"/>
    <n v="0"/>
    <n v="6"/>
    <x v="1"/>
    <x v="2"/>
    <x v="3"/>
  </r>
  <r>
    <s v="STU-1820"/>
    <x v="7"/>
    <x v="4"/>
    <x v="0"/>
    <x v="3"/>
    <s v="Essay Drafting"/>
    <n v="3.55"/>
    <n v="3.45"/>
    <n v="-9.9999999999999645E-2"/>
    <n v="12"/>
    <x v="1"/>
    <x v="6"/>
    <x v="0"/>
  </r>
  <r>
    <s v="STU-1640"/>
    <x v="0"/>
    <x v="4"/>
    <x v="2"/>
    <x v="5"/>
    <s v="Essay Drafting"/>
    <n v="2.99"/>
    <n v="2.89"/>
    <n v="-0.10000000000000009"/>
    <n v="7"/>
    <x v="1"/>
    <x v="3"/>
    <x v="8"/>
  </r>
  <r>
    <s v="STU-8373"/>
    <x v="7"/>
    <x v="3"/>
    <x v="3"/>
    <x v="5"/>
    <s v="Brainstorming"/>
    <n v="3.14"/>
    <n v="3.44"/>
    <n v="0.29999999999999982"/>
    <n v="11"/>
    <x v="2"/>
    <x v="9"/>
    <x v="2"/>
  </r>
  <r>
    <s v="STU-9429"/>
    <x v="3"/>
    <x v="4"/>
    <x v="1"/>
    <x v="6"/>
    <s v="Code Debugging"/>
    <n v="3.03"/>
    <n v="3.33"/>
    <n v="0.30000000000000027"/>
    <n v="9"/>
    <x v="0"/>
    <x v="4"/>
    <x v="10"/>
  </r>
  <r>
    <s v="STU-6001"/>
    <x v="4"/>
    <x v="0"/>
    <x v="4"/>
    <x v="5"/>
    <s v="Exam Prep"/>
    <n v="3.88"/>
    <n v="3.98"/>
    <n v="0.10000000000000009"/>
    <n v="2"/>
    <x v="1"/>
    <x v="5"/>
    <x v="12"/>
  </r>
  <r>
    <s v="STU-1013"/>
    <x v="5"/>
    <x v="0"/>
    <x v="1"/>
    <x v="4"/>
    <s v="Exam Prep"/>
    <n v="2.7"/>
    <n v="2.6"/>
    <n v="-0.10000000000000009"/>
    <n v="8"/>
    <x v="2"/>
    <x v="4"/>
    <x v="8"/>
  </r>
  <r>
    <s v="STU-6248"/>
    <x v="0"/>
    <x v="4"/>
    <x v="1"/>
    <x v="1"/>
    <s v="Literature Review"/>
    <n v="2.96"/>
    <n v="3.06"/>
    <n v="0.10000000000000009"/>
    <n v="4"/>
    <x v="0"/>
    <x v="5"/>
    <x v="13"/>
  </r>
  <r>
    <s v="STU-7084"/>
    <x v="5"/>
    <x v="4"/>
    <x v="1"/>
    <x v="8"/>
    <s v="Brainstorming"/>
    <n v="2.95"/>
    <n v="3.15"/>
    <n v="0.19999999999999973"/>
    <n v="14"/>
    <x v="0"/>
    <x v="1"/>
    <x v="4"/>
  </r>
  <r>
    <s v="STU-1697"/>
    <x v="7"/>
    <x v="1"/>
    <x v="0"/>
    <x v="6"/>
    <s v="Essay Drafting"/>
    <n v="3.57"/>
    <n v="3.67"/>
    <n v="0.10000000000000009"/>
    <n v="9"/>
    <x v="1"/>
    <x v="7"/>
    <x v="15"/>
  </r>
  <r>
    <s v="STU-0044"/>
    <x v="1"/>
    <x v="2"/>
    <x v="2"/>
    <x v="7"/>
    <s v="Essay Drafting"/>
    <n v="3.1"/>
    <n v="3.3"/>
    <n v="0.19999999999999973"/>
    <n v="14"/>
    <x v="2"/>
    <x v="6"/>
    <x v="12"/>
  </r>
  <r>
    <s v="STU-4260"/>
    <x v="6"/>
    <x v="2"/>
    <x v="2"/>
    <x v="1"/>
    <s v="Literature Review"/>
    <n v="2.62"/>
    <n v="2.62"/>
    <n v="0"/>
    <n v="15"/>
    <x v="1"/>
    <x v="3"/>
    <x v="6"/>
  </r>
  <r>
    <s v="STU-8617"/>
    <x v="3"/>
    <x v="0"/>
    <x v="2"/>
    <x v="7"/>
    <s v="Essay Drafting"/>
    <n v="2.6"/>
    <n v="2.6"/>
    <n v="0"/>
    <n v="9"/>
    <x v="1"/>
    <x v="3"/>
    <x v="11"/>
  </r>
  <r>
    <s v="STU-4498"/>
    <x v="3"/>
    <x v="4"/>
    <x v="4"/>
    <x v="1"/>
    <s v="Essay Drafting"/>
    <n v="3.16"/>
    <n v="3.16"/>
    <n v="0"/>
    <n v="4"/>
    <x v="2"/>
    <x v="7"/>
    <x v="11"/>
  </r>
  <r>
    <s v="STU-3474"/>
    <x v="2"/>
    <x v="4"/>
    <x v="3"/>
    <x v="7"/>
    <s v="Brainstorming"/>
    <n v="3.64"/>
    <n v="3.84"/>
    <n v="0.19999999999999973"/>
    <n v="6"/>
    <x v="2"/>
    <x v="0"/>
    <x v="2"/>
  </r>
  <r>
    <s v="STU-4598"/>
    <x v="2"/>
    <x v="5"/>
    <x v="1"/>
    <x v="8"/>
    <s v="Essay Drafting"/>
    <n v="2.97"/>
    <n v="2.87"/>
    <n v="-0.10000000000000009"/>
    <n v="6"/>
    <x v="2"/>
    <x v="9"/>
    <x v="3"/>
  </r>
  <r>
    <s v="STU-9772"/>
    <x v="7"/>
    <x v="0"/>
    <x v="1"/>
    <x v="8"/>
    <s v="Code Debugging"/>
    <n v="3.2"/>
    <n v="3.3"/>
    <n v="9.9999999999999645E-2"/>
    <n v="13"/>
    <x v="2"/>
    <x v="6"/>
    <x v="6"/>
  </r>
  <r>
    <s v="STU-0639"/>
    <x v="4"/>
    <x v="5"/>
    <x v="0"/>
    <x v="1"/>
    <s v="Exam Prep"/>
    <n v="2.83"/>
    <n v="3.13"/>
    <n v="0.29999999999999982"/>
    <n v="8"/>
    <x v="0"/>
    <x v="2"/>
    <x v="5"/>
  </r>
  <r>
    <s v="STU-1212"/>
    <x v="3"/>
    <x v="5"/>
    <x v="3"/>
    <x v="7"/>
    <s v="Essay Drafting"/>
    <n v="2.52"/>
    <n v="2.82"/>
    <n v="0.29999999999999982"/>
    <n v="4"/>
    <x v="0"/>
    <x v="3"/>
    <x v="15"/>
  </r>
  <r>
    <s v="STU-4755"/>
    <x v="2"/>
    <x v="5"/>
    <x v="2"/>
    <x v="8"/>
    <s v="Exam Prep"/>
    <n v="2.73"/>
    <n v="2.73"/>
    <n v="0"/>
    <n v="12"/>
    <x v="0"/>
    <x v="5"/>
    <x v="4"/>
  </r>
  <r>
    <s v="STU-0394"/>
    <x v="0"/>
    <x v="5"/>
    <x v="4"/>
    <x v="3"/>
    <s v="Literature Review"/>
    <n v="2.5099999999999998"/>
    <n v="2.71"/>
    <n v="0.20000000000000018"/>
    <n v="11"/>
    <x v="1"/>
    <x v="9"/>
    <x v="13"/>
  </r>
  <r>
    <s v="STU-8657"/>
    <x v="7"/>
    <x v="0"/>
    <x v="3"/>
    <x v="7"/>
    <s v="Code Debugging"/>
    <n v="3.74"/>
    <n v="3.64"/>
    <n v="-0.10000000000000009"/>
    <n v="5"/>
    <x v="2"/>
    <x v="2"/>
    <x v="3"/>
  </r>
  <r>
    <s v="STU-4730"/>
    <x v="5"/>
    <x v="3"/>
    <x v="4"/>
    <x v="0"/>
    <s v="Exam Prep"/>
    <n v="3.92"/>
    <n v="4"/>
    <n v="8.0000000000000071E-2"/>
    <n v="14"/>
    <x v="0"/>
    <x v="4"/>
    <x v="15"/>
  </r>
  <r>
    <s v="STU-7342"/>
    <x v="0"/>
    <x v="5"/>
    <x v="3"/>
    <x v="0"/>
    <s v="Code Debugging"/>
    <n v="3.36"/>
    <n v="3.36"/>
    <n v="0"/>
    <n v="10"/>
    <x v="2"/>
    <x v="8"/>
    <x v="7"/>
  </r>
  <r>
    <s v="STU-8240"/>
    <x v="1"/>
    <x v="4"/>
    <x v="2"/>
    <x v="9"/>
    <s v="Essay Drafting"/>
    <n v="2.58"/>
    <n v="2.58"/>
    <n v="0"/>
    <n v="4"/>
    <x v="0"/>
    <x v="8"/>
    <x v="0"/>
  </r>
  <r>
    <s v="STU-2244"/>
    <x v="3"/>
    <x v="4"/>
    <x v="3"/>
    <x v="5"/>
    <s v="Code Debugging"/>
    <n v="3.03"/>
    <n v="3.03"/>
    <n v="0"/>
    <n v="12"/>
    <x v="2"/>
    <x v="2"/>
    <x v="1"/>
  </r>
  <r>
    <s v="STU-2773"/>
    <x v="4"/>
    <x v="5"/>
    <x v="3"/>
    <x v="1"/>
    <s v="Code Debugging"/>
    <n v="3.27"/>
    <n v="3.27"/>
    <n v="0"/>
    <n v="2"/>
    <x v="0"/>
    <x v="4"/>
    <x v="9"/>
  </r>
  <r>
    <s v="STU-5232"/>
    <x v="2"/>
    <x v="1"/>
    <x v="3"/>
    <x v="5"/>
    <s v="Essay Drafting"/>
    <n v="2.98"/>
    <n v="3.08"/>
    <n v="0.10000000000000009"/>
    <n v="9"/>
    <x v="2"/>
    <x v="5"/>
    <x v="11"/>
  </r>
  <r>
    <s v="STU-7529"/>
    <x v="0"/>
    <x v="5"/>
    <x v="2"/>
    <x v="4"/>
    <s v="Exam Prep"/>
    <n v="2.97"/>
    <n v="3.17"/>
    <n v="0.19999999999999973"/>
    <n v="2"/>
    <x v="2"/>
    <x v="4"/>
    <x v="5"/>
  </r>
  <r>
    <s v="STU-0323"/>
    <x v="6"/>
    <x v="0"/>
    <x v="3"/>
    <x v="6"/>
    <s v="Exam Prep"/>
    <n v="3.14"/>
    <n v="3.24"/>
    <n v="0.10000000000000009"/>
    <n v="4"/>
    <x v="2"/>
    <x v="7"/>
    <x v="10"/>
  </r>
  <r>
    <s v="STU-0067"/>
    <x v="2"/>
    <x v="1"/>
    <x v="0"/>
    <x v="2"/>
    <s v="Code Debugging"/>
    <n v="3.82"/>
    <n v="3.92"/>
    <n v="0.10000000000000009"/>
    <n v="13"/>
    <x v="0"/>
    <x v="4"/>
    <x v="12"/>
  </r>
  <r>
    <s v="STU-7378"/>
    <x v="6"/>
    <x v="5"/>
    <x v="0"/>
    <x v="1"/>
    <s v="Exam Prep"/>
    <n v="3.4"/>
    <n v="3.4"/>
    <n v="0"/>
    <n v="9"/>
    <x v="2"/>
    <x v="0"/>
    <x v="5"/>
  </r>
  <r>
    <s v="STU-5842"/>
    <x v="2"/>
    <x v="4"/>
    <x v="1"/>
    <x v="9"/>
    <s v="Brainstorming"/>
    <n v="3.77"/>
    <n v="3.87"/>
    <n v="0.10000000000000009"/>
    <n v="12"/>
    <x v="2"/>
    <x v="3"/>
    <x v="11"/>
  </r>
  <r>
    <s v="STU-5122"/>
    <x v="3"/>
    <x v="4"/>
    <x v="0"/>
    <x v="0"/>
    <s v="Code Debugging"/>
    <n v="3.41"/>
    <n v="3.31"/>
    <n v="-0.10000000000000009"/>
    <n v="6"/>
    <x v="0"/>
    <x v="5"/>
    <x v="9"/>
  </r>
  <r>
    <s v="STU-0858"/>
    <x v="5"/>
    <x v="5"/>
    <x v="3"/>
    <x v="0"/>
    <s v="Code Debugging"/>
    <n v="3.59"/>
    <n v="3.59"/>
    <n v="0"/>
    <n v="13"/>
    <x v="2"/>
    <x v="2"/>
    <x v="14"/>
  </r>
  <r>
    <s v="STU-6480"/>
    <x v="5"/>
    <x v="3"/>
    <x v="4"/>
    <x v="6"/>
    <s v="Code Debugging"/>
    <n v="2.78"/>
    <n v="2.78"/>
    <n v="0"/>
    <n v="2"/>
    <x v="1"/>
    <x v="6"/>
    <x v="9"/>
  </r>
  <r>
    <s v="STU-2481"/>
    <x v="6"/>
    <x v="4"/>
    <x v="0"/>
    <x v="7"/>
    <s v="Literature Review"/>
    <n v="3"/>
    <n v="3"/>
    <n v="0"/>
    <n v="10"/>
    <x v="2"/>
    <x v="0"/>
    <x v="6"/>
  </r>
  <r>
    <s v="STU-3177"/>
    <x v="2"/>
    <x v="1"/>
    <x v="2"/>
    <x v="3"/>
    <s v="Brainstorming"/>
    <n v="3.24"/>
    <n v="3.44"/>
    <n v="0.19999999999999973"/>
    <n v="8"/>
    <x v="1"/>
    <x v="3"/>
    <x v="7"/>
  </r>
  <r>
    <s v="STU-7542"/>
    <x v="7"/>
    <x v="5"/>
    <x v="3"/>
    <x v="1"/>
    <s v="Brainstorming"/>
    <n v="2.94"/>
    <n v="3.24"/>
    <n v="0.30000000000000027"/>
    <n v="7"/>
    <x v="0"/>
    <x v="5"/>
    <x v="12"/>
  </r>
  <r>
    <s v="STU-7241"/>
    <x v="1"/>
    <x v="2"/>
    <x v="2"/>
    <x v="6"/>
    <s v="Essay Drafting"/>
    <n v="3.84"/>
    <n v="3.74"/>
    <n v="-9.9999999999999645E-2"/>
    <n v="9"/>
    <x v="0"/>
    <x v="8"/>
    <x v="13"/>
  </r>
  <r>
    <s v="STU-3013"/>
    <x v="7"/>
    <x v="5"/>
    <x v="3"/>
    <x v="2"/>
    <s v="Brainstorming"/>
    <n v="3.47"/>
    <n v="3.77"/>
    <n v="0.29999999999999982"/>
    <n v="9"/>
    <x v="1"/>
    <x v="0"/>
    <x v="1"/>
  </r>
  <r>
    <s v="STU-5231"/>
    <x v="3"/>
    <x v="1"/>
    <x v="3"/>
    <x v="1"/>
    <s v="Code Debugging"/>
    <n v="3.6"/>
    <n v="3.6"/>
    <n v="0"/>
    <n v="12"/>
    <x v="1"/>
    <x v="9"/>
    <x v="10"/>
  </r>
  <r>
    <s v="STU-4656"/>
    <x v="7"/>
    <x v="5"/>
    <x v="0"/>
    <x v="0"/>
    <s v="Code Debugging"/>
    <n v="3.77"/>
    <n v="4"/>
    <n v="0.22999999999999998"/>
    <n v="13"/>
    <x v="1"/>
    <x v="6"/>
    <x v="14"/>
  </r>
  <r>
    <s v="STU-1962"/>
    <x v="4"/>
    <x v="5"/>
    <x v="2"/>
    <x v="6"/>
    <s v="Literature Review"/>
    <n v="3.15"/>
    <n v="3.15"/>
    <n v="0"/>
    <n v="9"/>
    <x v="0"/>
    <x v="2"/>
    <x v="6"/>
  </r>
  <r>
    <s v="STU-4054"/>
    <x v="5"/>
    <x v="4"/>
    <x v="2"/>
    <x v="9"/>
    <s v="Essay Drafting"/>
    <n v="3.17"/>
    <n v="3.37"/>
    <n v="0.20000000000000018"/>
    <n v="10"/>
    <x v="2"/>
    <x v="3"/>
    <x v="2"/>
  </r>
  <r>
    <s v="STU-9226"/>
    <x v="3"/>
    <x v="3"/>
    <x v="3"/>
    <x v="8"/>
    <s v="Essay Drafting"/>
    <n v="2.57"/>
    <n v="2.4700000000000002"/>
    <n v="-9.9999999999999645E-2"/>
    <n v="3"/>
    <x v="2"/>
    <x v="7"/>
    <x v="14"/>
  </r>
  <r>
    <s v="STU-6530"/>
    <x v="6"/>
    <x v="0"/>
    <x v="1"/>
    <x v="4"/>
    <s v="Code Debugging"/>
    <n v="3.31"/>
    <n v="3.21"/>
    <n v="-0.10000000000000009"/>
    <n v="8"/>
    <x v="0"/>
    <x v="0"/>
    <x v="0"/>
  </r>
  <r>
    <s v="STU-6518"/>
    <x v="6"/>
    <x v="2"/>
    <x v="2"/>
    <x v="7"/>
    <s v="Exam Prep"/>
    <n v="3.05"/>
    <n v="3.15"/>
    <n v="0.10000000000000009"/>
    <n v="6"/>
    <x v="0"/>
    <x v="9"/>
    <x v="14"/>
  </r>
  <r>
    <s v="STU-6932"/>
    <x v="7"/>
    <x v="1"/>
    <x v="2"/>
    <x v="3"/>
    <s v="Essay Drafting"/>
    <n v="3.64"/>
    <n v="3.74"/>
    <n v="0.10000000000000009"/>
    <n v="9"/>
    <x v="1"/>
    <x v="7"/>
    <x v="8"/>
  </r>
  <r>
    <s v="STU-8015"/>
    <x v="5"/>
    <x v="0"/>
    <x v="3"/>
    <x v="4"/>
    <s v="Literature Review"/>
    <n v="3.45"/>
    <n v="3.75"/>
    <n v="0.29999999999999982"/>
    <n v="12"/>
    <x v="0"/>
    <x v="6"/>
    <x v="4"/>
  </r>
  <r>
    <s v="STU-5360"/>
    <x v="2"/>
    <x v="0"/>
    <x v="0"/>
    <x v="6"/>
    <s v="Exam Prep"/>
    <n v="3.48"/>
    <n v="3.48"/>
    <n v="0"/>
    <n v="3"/>
    <x v="0"/>
    <x v="3"/>
    <x v="9"/>
  </r>
  <r>
    <s v="STU-0939"/>
    <x v="4"/>
    <x v="4"/>
    <x v="0"/>
    <x v="8"/>
    <s v="Code Debugging"/>
    <n v="3.84"/>
    <n v="3.74"/>
    <n v="-9.9999999999999645E-2"/>
    <n v="7"/>
    <x v="0"/>
    <x v="4"/>
    <x v="8"/>
  </r>
  <r>
    <s v="STU-4486"/>
    <x v="0"/>
    <x v="2"/>
    <x v="1"/>
    <x v="4"/>
    <s v="Code Debugging"/>
    <n v="2.88"/>
    <n v="3.08"/>
    <n v="0.20000000000000018"/>
    <n v="15"/>
    <x v="0"/>
    <x v="4"/>
    <x v="6"/>
  </r>
  <r>
    <s v="STU-9676"/>
    <x v="0"/>
    <x v="5"/>
    <x v="0"/>
    <x v="3"/>
    <s v="Literature Review"/>
    <n v="3.6"/>
    <n v="3.5"/>
    <n v="-0.10000000000000009"/>
    <n v="9"/>
    <x v="1"/>
    <x v="2"/>
    <x v="11"/>
  </r>
  <r>
    <s v="STU-7489"/>
    <x v="5"/>
    <x v="3"/>
    <x v="3"/>
    <x v="2"/>
    <s v="Essay Drafting"/>
    <n v="2.86"/>
    <n v="3.16"/>
    <n v="0.30000000000000027"/>
    <n v="11"/>
    <x v="0"/>
    <x v="9"/>
    <x v="5"/>
  </r>
  <r>
    <s v="STU-0197"/>
    <x v="6"/>
    <x v="0"/>
    <x v="4"/>
    <x v="3"/>
    <s v="Code Debugging"/>
    <n v="3.93"/>
    <n v="4"/>
    <n v="6.999999999999984E-2"/>
    <n v="7"/>
    <x v="0"/>
    <x v="5"/>
    <x v="10"/>
  </r>
  <r>
    <s v="STU-9474"/>
    <x v="0"/>
    <x v="3"/>
    <x v="4"/>
    <x v="6"/>
    <s v="Literature Review"/>
    <n v="2.98"/>
    <n v="3.08"/>
    <n v="0.10000000000000009"/>
    <n v="2"/>
    <x v="0"/>
    <x v="5"/>
    <x v="0"/>
  </r>
  <r>
    <s v="STU-5543"/>
    <x v="4"/>
    <x v="0"/>
    <x v="1"/>
    <x v="2"/>
    <s v="Exam Prep"/>
    <n v="3.53"/>
    <n v="3.43"/>
    <n v="-9.9999999999999645E-2"/>
    <n v="11"/>
    <x v="2"/>
    <x v="8"/>
    <x v="1"/>
  </r>
  <r>
    <s v="STU-2779"/>
    <x v="0"/>
    <x v="3"/>
    <x v="4"/>
    <x v="1"/>
    <s v="Exam Prep"/>
    <n v="3.58"/>
    <n v="3.78"/>
    <n v="0.19999999999999973"/>
    <n v="5"/>
    <x v="1"/>
    <x v="9"/>
    <x v="2"/>
  </r>
  <r>
    <s v="STU-5537"/>
    <x v="1"/>
    <x v="4"/>
    <x v="3"/>
    <x v="4"/>
    <s v="Exam Prep"/>
    <n v="2.97"/>
    <n v="2.87"/>
    <n v="-0.10000000000000009"/>
    <n v="14"/>
    <x v="2"/>
    <x v="4"/>
    <x v="1"/>
  </r>
  <r>
    <s v="STU-9364"/>
    <x v="7"/>
    <x v="4"/>
    <x v="2"/>
    <x v="5"/>
    <s v="Essay Drafting"/>
    <n v="3.87"/>
    <n v="4"/>
    <n v="0.12999999999999989"/>
    <n v="5"/>
    <x v="2"/>
    <x v="2"/>
    <x v="8"/>
  </r>
  <r>
    <s v="STU-2974"/>
    <x v="3"/>
    <x v="0"/>
    <x v="4"/>
    <x v="0"/>
    <s v="Code Debugging"/>
    <n v="3.51"/>
    <n v="3.51"/>
    <n v="0"/>
    <n v="13"/>
    <x v="1"/>
    <x v="6"/>
    <x v="7"/>
  </r>
  <r>
    <s v="STU-8851"/>
    <x v="1"/>
    <x v="3"/>
    <x v="1"/>
    <x v="5"/>
    <s v="Exam Prep"/>
    <n v="3.73"/>
    <n v="4"/>
    <n v="0.27"/>
    <n v="14"/>
    <x v="1"/>
    <x v="6"/>
    <x v="15"/>
  </r>
  <r>
    <s v="STU-3184"/>
    <x v="0"/>
    <x v="2"/>
    <x v="2"/>
    <x v="3"/>
    <s v="Exam Prep"/>
    <n v="3.58"/>
    <n v="3.78"/>
    <n v="0.19999999999999973"/>
    <n v="13"/>
    <x v="1"/>
    <x v="5"/>
    <x v="1"/>
  </r>
  <r>
    <s v="STU-0817"/>
    <x v="6"/>
    <x v="5"/>
    <x v="2"/>
    <x v="4"/>
    <s v="Literature Review"/>
    <n v="3.23"/>
    <n v="3.53"/>
    <n v="0.29999999999999982"/>
    <n v="5"/>
    <x v="1"/>
    <x v="2"/>
    <x v="14"/>
  </r>
  <r>
    <s v="STU-9692"/>
    <x v="7"/>
    <x v="3"/>
    <x v="2"/>
    <x v="9"/>
    <s v="Essay Drafting"/>
    <n v="3.97"/>
    <n v="4"/>
    <n v="2.9999999999999805E-2"/>
    <n v="4"/>
    <x v="1"/>
    <x v="8"/>
    <x v="1"/>
  </r>
  <r>
    <s v="STU-8789"/>
    <x v="5"/>
    <x v="3"/>
    <x v="1"/>
    <x v="0"/>
    <s v="Exam Prep"/>
    <n v="2.66"/>
    <n v="2.66"/>
    <n v="0"/>
    <n v="8"/>
    <x v="2"/>
    <x v="8"/>
    <x v="10"/>
  </r>
  <r>
    <s v="STU-5266"/>
    <x v="2"/>
    <x v="5"/>
    <x v="3"/>
    <x v="5"/>
    <s v="Essay Drafting"/>
    <n v="2.52"/>
    <n v="2.42"/>
    <n v="-0.10000000000000009"/>
    <n v="5"/>
    <x v="1"/>
    <x v="0"/>
    <x v="11"/>
  </r>
  <r>
    <s v="STU-6823"/>
    <x v="0"/>
    <x v="1"/>
    <x v="4"/>
    <x v="4"/>
    <s v="Exam Prep"/>
    <n v="3.78"/>
    <n v="3.68"/>
    <n v="-9.9999999999999645E-2"/>
    <n v="7"/>
    <x v="1"/>
    <x v="0"/>
    <x v="9"/>
  </r>
  <r>
    <s v="STU-0461"/>
    <x v="0"/>
    <x v="3"/>
    <x v="3"/>
    <x v="7"/>
    <s v="Brainstorming"/>
    <n v="2.82"/>
    <n v="2.72"/>
    <n v="-9.9999999999999645E-2"/>
    <n v="3"/>
    <x v="0"/>
    <x v="0"/>
    <x v="1"/>
  </r>
  <r>
    <s v="STU-9793"/>
    <x v="6"/>
    <x v="1"/>
    <x v="0"/>
    <x v="3"/>
    <s v="Brainstorming"/>
    <n v="3.86"/>
    <n v="4"/>
    <n v="0.14000000000000012"/>
    <n v="7"/>
    <x v="2"/>
    <x v="8"/>
    <x v="8"/>
  </r>
  <r>
    <s v="STU-5652"/>
    <x v="2"/>
    <x v="4"/>
    <x v="4"/>
    <x v="3"/>
    <s v="Literature Review"/>
    <n v="3.86"/>
    <n v="3.76"/>
    <n v="-0.10000000000000009"/>
    <n v="4"/>
    <x v="1"/>
    <x v="7"/>
    <x v="13"/>
  </r>
  <r>
    <s v="STU-8432"/>
    <x v="3"/>
    <x v="2"/>
    <x v="1"/>
    <x v="6"/>
    <s v="Exam Prep"/>
    <n v="2.82"/>
    <n v="2.72"/>
    <n v="-9.9999999999999645E-2"/>
    <n v="10"/>
    <x v="2"/>
    <x v="6"/>
    <x v="15"/>
  </r>
  <r>
    <s v="STU-5053"/>
    <x v="2"/>
    <x v="0"/>
    <x v="1"/>
    <x v="3"/>
    <s v="Exam Prep"/>
    <n v="2.6"/>
    <n v="2.7"/>
    <n v="0.10000000000000009"/>
    <n v="9"/>
    <x v="1"/>
    <x v="9"/>
    <x v="10"/>
  </r>
  <r>
    <s v="STU-5342"/>
    <x v="6"/>
    <x v="1"/>
    <x v="3"/>
    <x v="1"/>
    <s v="Literature Review"/>
    <n v="3.15"/>
    <n v="3.35"/>
    <n v="0.20000000000000018"/>
    <n v="11"/>
    <x v="2"/>
    <x v="9"/>
    <x v="12"/>
  </r>
  <r>
    <s v="STU-3925"/>
    <x v="2"/>
    <x v="0"/>
    <x v="0"/>
    <x v="9"/>
    <s v="Literature Review"/>
    <n v="3.23"/>
    <n v="3.33"/>
    <n v="0.10000000000000009"/>
    <n v="3"/>
    <x v="0"/>
    <x v="8"/>
    <x v="8"/>
  </r>
  <r>
    <s v="STU-6282"/>
    <x v="5"/>
    <x v="5"/>
    <x v="4"/>
    <x v="6"/>
    <s v="Literature Review"/>
    <n v="3.32"/>
    <n v="3.52"/>
    <n v="0.20000000000000018"/>
    <n v="14"/>
    <x v="2"/>
    <x v="8"/>
    <x v="10"/>
  </r>
  <r>
    <s v="STU-5921"/>
    <x v="6"/>
    <x v="4"/>
    <x v="4"/>
    <x v="2"/>
    <s v="Brainstorming"/>
    <n v="3.33"/>
    <n v="3.53"/>
    <n v="0.19999999999999973"/>
    <n v="15"/>
    <x v="1"/>
    <x v="4"/>
    <x v="1"/>
  </r>
  <r>
    <s v="STU-9763"/>
    <x v="4"/>
    <x v="2"/>
    <x v="3"/>
    <x v="1"/>
    <s v="Brainstorming"/>
    <n v="2.64"/>
    <n v="2.54"/>
    <n v="-0.10000000000000009"/>
    <n v="10"/>
    <x v="2"/>
    <x v="2"/>
    <x v="3"/>
  </r>
  <r>
    <s v="STU-4769"/>
    <x v="6"/>
    <x v="0"/>
    <x v="1"/>
    <x v="4"/>
    <s v="Literature Review"/>
    <n v="2.69"/>
    <n v="2.89"/>
    <n v="0.20000000000000018"/>
    <n v="14"/>
    <x v="0"/>
    <x v="2"/>
    <x v="7"/>
  </r>
  <r>
    <s v="STU-9609"/>
    <x v="7"/>
    <x v="3"/>
    <x v="0"/>
    <x v="0"/>
    <s v="Literature Review"/>
    <n v="2.86"/>
    <n v="2.96"/>
    <n v="0.10000000000000009"/>
    <n v="3"/>
    <x v="2"/>
    <x v="9"/>
    <x v="0"/>
  </r>
  <r>
    <s v="STU-8845"/>
    <x v="7"/>
    <x v="4"/>
    <x v="4"/>
    <x v="8"/>
    <s v="Essay Drafting"/>
    <n v="3.94"/>
    <n v="4"/>
    <n v="6.0000000000000053E-2"/>
    <n v="5"/>
    <x v="1"/>
    <x v="2"/>
    <x v="4"/>
  </r>
  <r>
    <s v="STU-1938"/>
    <x v="7"/>
    <x v="1"/>
    <x v="2"/>
    <x v="3"/>
    <s v="Brainstorming"/>
    <n v="3.35"/>
    <n v="3.35"/>
    <n v="0"/>
    <n v="3"/>
    <x v="2"/>
    <x v="6"/>
    <x v="15"/>
  </r>
  <r>
    <s v="STU-3321"/>
    <x v="3"/>
    <x v="3"/>
    <x v="4"/>
    <x v="7"/>
    <s v="Exam Prep"/>
    <n v="3.76"/>
    <n v="3.86"/>
    <n v="0.10000000000000009"/>
    <n v="3"/>
    <x v="2"/>
    <x v="2"/>
    <x v="5"/>
  </r>
  <r>
    <s v="STU-0188"/>
    <x v="3"/>
    <x v="2"/>
    <x v="1"/>
    <x v="2"/>
    <s v="Essay Drafting"/>
    <n v="3.1"/>
    <n v="3.1"/>
    <n v="0"/>
    <n v="15"/>
    <x v="1"/>
    <x v="4"/>
    <x v="11"/>
  </r>
  <r>
    <s v="STU-3868"/>
    <x v="1"/>
    <x v="5"/>
    <x v="4"/>
    <x v="2"/>
    <s v="Brainstorming"/>
    <n v="3.41"/>
    <n v="3.61"/>
    <n v="0.19999999999999973"/>
    <n v="12"/>
    <x v="2"/>
    <x v="8"/>
    <x v="2"/>
  </r>
  <r>
    <s v="STU-6365"/>
    <x v="1"/>
    <x v="1"/>
    <x v="4"/>
    <x v="7"/>
    <s v="Exam Prep"/>
    <n v="3.25"/>
    <n v="3.55"/>
    <n v="0.29999999999999982"/>
    <n v="13"/>
    <x v="2"/>
    <x v="9"/>
    <x v="8"/>
  </r>
  <r>
    <s v="STU-5980"/>
    <x v="3"/>
    <x v="5"/>
    <x v="1"/>
    <x v="0"/>
    <s v="Brainstorming"/>
    <n v="2.86"/>
    <n v="2.76"/>
    <n v="-0.10000000000000009"/>
    <n v="14"/>
    <x v="0"/>
    <x v="7"/>
    <x v="0"/>
  </r>
  <r>
    <s v="STU-2366"/>
    <x v="2"/>
    <x v="0"/>
    <x v="1"/>
    <x v="3"/>
    <s v="Code Debugging"/>
    <n v="2.54"/>
    <n v="2.44"/>
    <n v="-0.10000000000000009"/>
    <n v="9"/>
    <x v="0"/>
    <x v="1"/>
    <x v="7"/>
  </r>
  <r>
    <s v="STU-3512"/>
    <x v="4"/>
    <x v="3"/>
    <x v="4"/>
    <x v="4"/>
    <s v="Literature Review"/>
    <n v="3.79"/>
    <n v="4"/>
    <n v="0.20999999999999996"/>
    <n v="6"/>
    <x v="1"/>
    <x v="4"/>
    <x v="9"/>
  </r>
  <r>
    <s v="STU-2113"/>
    <x v="6"/>
    <x v="1"/>
    <x v="2"/>
    <x v="6"/>
    <s v="Brainstorming"/>
    <n v="3.48"/>
    <n v="3.68"/>
    <n v="0.20000000000000018"/>
    <n v="12"/>
    <x v="2"/>
    <x v="2"/>
    <x v="0"/>
  </r>
  <r>
    <s v="STU-6742"/>
    <x v="1"/>
    <x v="2"/>
    <x v="0"/>
    <x v="3"/>
    <s v="Exam Prep"/>
    <n v="3.4"/>
    <n v="3.6"/>
    <n v="0.20000000000000018"/>
    <n v="15"/>
    <x v="0"/>
    <x v="8"/>
    <x v="0"/>
  </r>
  <r>
    <s v="STU-3372"/>
    <x v="0"/>
    <x v="0"/>
    <x v="3"/>
    <x v="1"/>
    <s v="Code Debugging"/>
    <n v="3.25"/>
    <n v="3.45"/>
    <n v="0.20000000000000018"/>
    <n v="14"/>
    <x v="2"/>
    <x v="8"/>
    <x v="12"/>
  </r>
  <r>
    <s v="STU-2699"/>
    <x v="4"/>
    <x v="1"/>
    <x v="4"/>
    <x v="7"/>
    <s v="Literature Review"/>
    <n v="2.88"/>
    <n v="2.98"/>
    <n v="0.10000000000000009"/>
    <n v="2"/>
    <x v="2"/>
    <x v="1"/>
    <x v="7"/>
  </r>
  <r>
    <s v="STU-1030"/>
    <x v="3"/>
    <x v="5"/>
    <x v="4"/>
    <x v="6"/>
    <s v="Brainstorming"/>
    <n v="3.04"/>
    <n v="2.94"/>
    <n v="-0.10000000000000009"/>
    <n v="15"/>
    <x v="1"/>
    <x v="4"/>
    <x v="10"/>
  </r>
  <r>
    <s v="STU-0310"/>
    <x v="0"/>
    <x v="4"/>
    <x v="3"/>
    <x v="2"/>
    <s v="Exam Prep"/>
    <n v="2.91"/>
    <n v="2.81"/>
    <n v="-0.10000000000000009"/>
    <n v="13"/>
    <x v="2"/>
    <x v="2"/>
    <x v="15"/>
  </r>
  <r>
    <s v="STU-8773"/>
    <x v="2"/>
    <x v="0"/>
    <x v="0"/>
    <x v="7"/>
    <s v="Code Debugging"/>
    <n v="3.03"/>
    <n v="3.23"/>
    <n v="0.20000000000000018"/>
    <n v="8"/>
    <x v="1"/>
    <x v="3"/>
    <x v="6"/>
  </r>
  <r>
    <s v="STU-7039"/>
    <x v="4"/>
    <x v="1"/>
    <x v="0"/>
    <x v="2"/>
    <s v="Brainstorming"/>
    <n v="3.24"/>
    <n v="3.34"/>
    <n v="9.9999999999999645E-2"/>
    <n v="10"/>
    <x v="2"/>
    <x v="9"/>
    <x v="9"/>
  </r>
  <r>
    <s v="STU-0536"/>
    <x v="4"/>
    <x v="4"/>
    <x v="1"/>
    <x v="4"/>
    <s v="Code Debugging"/>
    <n v="2.64"/>
    <n v="2.74"/>
    <n v="0.10000000000000009"/>
    <n v="14"/>
    <x v="2"/>
    <x v="2"/>
    <x v="1"/>
  </r>
  <r>
    <s v="STU-8214"/>
    <x v="6"/>
    <x v="3"/>
    <x v="4"/>
    <x v="0"/>
    <s v="Literature Review"/>
    <n v="2.77"/>
    <n v="2.67"/>
    <n v="-0.10000000000000009"/>
    <n v="9"/>
    <x v="2"/>
    <x v="8"/>
    <x v="11"/>
  </r>
  <r>
    <s v="STU-8035"/>
    <x v="6"/>
    <x v="2"/>
    <x v="3"/>
    <x v="7"/>
    <s v="Exam Prep"/>
    <n v="3.09"/>
    <n v="3.09"/>
    <n v="0"/>
    <n v="12"/>
    <x v="0"/>
    <x v="5"/>
    <x v="3"/>
  </r>
  <r>
    <s v="STU-0347"/>
    <x v="7"/>
    <x v="0"/>
    <x v="3"/>
    <x v="1"/>
    <s v="Exam Prep"/>
    <n v="3.26"/>
    <n v="3.46"/>
    <n v="0.20000000000000018"/>
    <n v="9"/>
    <x v="0"/>
    <x v="4"/>
    <x v="3"/>
  </r>
  <r>
    <s v="STU-6903"/>
    <x v="0"/>
    <x v="1"/>
    <x v="2"/>
    <x v="5"/>
    <s v="Brainstorming"/>
    <n v="2.9"/>
    <n v="3"/>
    <n v="0.10000000000000009"/>
    <n v="11"/>
    <x v="0"/>
    <x v="6"/>
    <x v="6"/>
  </r>
  <r>
    <s v="STU-3571"/>
    <x v="2"/>
    <x v="4"/>
    <x v="4"/>
    <x v="7"/>
    <s v="Code Debugging"/>
    <n v="3.71"/>
    <n v="3.61"/>
    <n v="-0.10000000000000009"/>
    <n v="2"/>
    <x v="0"/>
    <x v="9"/>
    <x v="12"/>
  </r>
  <r>
    <s v="STU-1675"/>
    <x v="0"/>
    <x v="1"/>
    <x v="4"/>
    <x v="6"/>
    <s v="Brainstorming"/>
    <n v="2.91"/>
    <n v="2.81"/>
    <n v="-0.10000000000000009"/>
    <n v="14"/>
    <x v="1"/>
    <x v="6"/>
    <x v="4"/>
  </r>
  <r>
    <s v="STU-9558"/>
    <x v="5"/>
    <x v="3"/>
    <x v="2"/>
    <x v="8"/>
    <s v="Literature Review"/>
    <n v="2.58"/>
    <n v="2.68"/>
    <n v="0.10000000000000009"/>
    <n v="15"/>
    <x v="0"/>
    <x v="6"/>
    <x v="7"/>
  </r>
  <r>
    <s v="STU-7146"/>
    <x v="3"/>
    <x v="3"/>
    <x v="4"/>
    <x v="4"/>
    <s v="Brainstorming"/>
    <n v="3.34"/>
    <n v="3.64"/>
    <n v="0.30000000000000027"/>
    <n v="5"/>
    <x v="1"/>
    <x v="9"/>
    <x v="3"/>
  </r>
  <r>
    <s v="STU-5721"/>
    <x v="7"/>
    <x v="2"/>
    <x v="2"/>
    <x v="1"/>
    <s v="Brainstorming"/>
    <n v="2.84"/>
    <n v="3.14"/>
    <n v="0.30000000000000027"/>
    <n v="7"/>
    <x v="2"/>
    <x v="9"/>
    <x v="3"/>
  </r>
  <r>
    <s v="STU-4158"/>
    <x v="6"/>
    <x v="3"/>
    <x v="4"/>
    <x v="9"/>
    <s v="Exam Prep"/>
    <n v="2.67"/>
    <n v="2.97"/>
    <n v="0.30000000000000027"/>
    <n v="15"/>
    <x v="2"/>
    <x v="9"/>
    <x v="8"/>
  </r>
  <r>
    <s v="STU-8441"/>
    <x v="2"/>
    <x v="5"/>
    <x v="0"/>
    <x v="3"/>
    <s v="Brainstorming"/>
    <n v="3.69"/>
    <n v="3.79"/>
    <n v="0.10000000000000009"/>
    <n v="6"/>
    <x v="2"/>
    <x v="7"/>
    <x v="9"/>
  </r>
  <r>
    <s v="STU-9127"/>
    <x v="3"/>
    <x v="4"/>
    <x v="4"/>
    <x v="6"/>
    <s v="Brainstorming"/>
    <n v="3.4"/>
    <n v="3.4"/>
    <n v="0"/>
    <n v="13"/>
    <x v="1"/>
    <x v="2"/>
    <x v="5"/>
  </r>
  <r>
    <s v="STU-7587"/>
    <x v="6"/>
    <x v="5"/>
    <x v="1"/>
    <x v="2"/>
    <s v="Literature Review"/>
    <n v="2.92"/>
    <n v="2.82"/>
    <n v="-0.10000000000000009"/>
    <n v="13"/>
    <x v="2"/>
    <x v="3"/>
    <x v="8"/>
  </r>
  <r>
    <s v="STU-3332"/>
    <x v="2"/>
    <x v="2"/>
    <x v="2"/>
    <x v="0"/>
    <s v="Literature Review"/>
    <n v="2.75"/>
    <n v="2.65"/>
    <n v="-0.10000000000000009"/>
    <n v="14"/>
    <x v="1"/>
    <x v="0"/>
    <x v="15"/>
  </r>
  <r>
    <s v="STU-9454"/>
    <x v="1"/>
    <x v="0"/>
    <x v="3"/>
    <x v="4"/>
    <s v="Exam Prep"/>
    <n v="3.08"/>
    <n v="3.18"/>
    <n v="0.10000000000000009"/>
    <n v="7"/>
    <x v="1"/>
    <x v="3"/>
    <x v="15"/>
  </r>
  <r>
    <s v="STU-0589"/>
    <x v="1"/>
    <x v="4"/>
    <x v="2"/>
    <x v="1"/>
    <s v="Exam Prep"/>
    <n v="3.55"/>
    <n v="3.55"/>
    <n v="0"/>
    <n v="11"/>
    <x v="0"/>
    <x v="2"/>
    <x v="0"/>
  </r>
  <r>
    <s v="STU-8427"/>
    <x v="0"/>
    <x v="2"/>
    <x v="1"/>
    <x v="7"/>
    <s v="Brainstorming"/>
    <n v="3.4"/>
    <n v="3.6"/>
    <n v="0.20000000000000018"/>
    <n v="7"/>
    <x v="1"/>
    <x v="9"/>
    <x v="8"/>
  </r>
  <r>
    <s v="STU-8187"/>
    <x v="2"/>
    <x v="2"/>
    <x v="1"/>
    <x v="9"/>
    <s v="Exam Prep"/>
    <n v="3.76"/>
    <n v="3.66"/>
    <n v="-9.9999999999999645E-2"/>
    <n v="12"/>
    <x v="1"/>
    <x v="0"/>
    <x v="3"/>
  </r>
  <r>
    <s v="STU-8567"/>
    <x v="0"/>
    <x v="2"/>
    <x v="3"/>
    <x v="7"/>
    <s v="Code Debugging"/>
    <n v="3.25"/>
    <n v="3.35"/>
    <n v="0.10000000000000009"/>
    <n v="4"/>
    <x v="2"/>
    <x v="7"/>
    <x v="13"/>
  </r>
  <r>
    <s v="STU-4966"/>
    <x v="5"/>
    <x v="3"/>
    <x v="1"/>
    <x v="0"/>
    <s v="Exam Prep"/>
    <n v="3.6"/>
    <n v="3.7"/>
    <n v="0.10000000000000009"/>
    <n v="2"/>
    <x v="2"/>
    <x v="3"/>
    <x v="13"/>
  </r>
  <r>
    <s v="STU-7730"/>
    <x v="3"/>
    <x v="3"/>
    <x v="0"/>
    <x v="6"/>
    <s v="Brainstorming"/>
    <n v="3.67"/>
    <n v="3.87"/>
    <n v="0.20000000000000018"/>
    <n v="4"/>
    <x v="1"/>
    <x v="5"/>
    <x v="3"/>
  </r>
  <r>
    <s v="STU-3262"/>
    <x v="3"/>
    <x v="2"/>
    <x v="4"/>
    <x v="5"/>
    <s v="Essay Drafting"/>
    <n v="2.64"/>
    <n v="2.84"/>
    <n v="0.19999999999999973"/>
    <n v="4"/>
    <x v="1"/>
    <x v="2"/>
    <x v="2"/>
  </r>
  <r>
    <s v="STU-2531"/>
    <x v="1"/>
    <x v="4"/>
    <x v="1"/>
    <x v="0"/>
    <s v="Literature Review"/>
    <n v="3.78"/>
    <n v="4"/>
    <n v="0.2200000000000002"/>
    <n v="15"/>
    <x v="1"/>
    <x v="6"/>
    <x v="4"/>
  </r>
  <r>
    <s v="STU-4537"/>
    <x v="0"/>
    <x v="4"/>
    <x v="2"/>
    <x v="5"/>
    <s v="Exam Prep"/>
    <n v="3.71"/>
    <n v="3.81"/>
    <n v="0.10000000000000009"/>
    <n v="6"/>
    <x v="2"/>
    <x v="0"/>
    <x v="15"/>
  </r>
  <r>
    <s v="STU-5987"/>
    <x v="3"/>
    <x v="3"/>
    <x v="4"/>
    <x v="5"/>
    <s v="Essay Drafting"/>
    <n v="3.93"/>
    <n v="4"/>
    <n v="6.999999999999984E-2"/>
    <n v="13"/>
    <x v="0"/>
    <x v="7"/>
    <x v="7"/>
  </r>
  <r>
    <s v="STU-1871"/>
    <x v="7"/>
    <x v="5"/>
    <x v="1"/>
    <x v="7"/>
    <s v="Code Debugging"/>
    <n v="2.65"/>
    <n v="2.85"/>
    <n v="0.20000000000000018"/>
    <n v="8"/>
    <x v="2"/>
    <x v="7"/>
    <x v="7"/>
  </r>
  <r>
    <s v="STU-5071"/>
    <x v="2"/>
    <x v="1"/>
    <x v="4"/>
    <x v="1"/>
    <s v="Brainstorming"/>
    <n v="3.89"/>
    <n v="3.89"/>
    <n v="0"/>
    <n v="4"/>
    <x v="2"/>
    <x v="1"/>
    <x v="9"/>
  </r>
  <r>
    <s v="STU-4196"/>
    <x v="0"/>
    <x v="0"/>
    <x v="3"/>
    <x v="1"/>
    <s v="Essay Drafting"/>
    <n v="3.27"/>
    <n v="3.57"/>
    <n v="0.29999999999999982"/>
    <n v="8"/>
    <x v="2"/>
    <x v="9"/>
    <x v="5"/>
  </r>
  <r>
    <s v="STU-8218"/>
    <x v="0"/>
    <x v="4"/>
    <x v="4"/>
    <x v="6"/>
    <s v="Exam Prep"/>
    <n v="3.28"/>
    <n v="3.28"/>
    <n v="0"/>
    <n v="7"/>
    <x v="2"/>
    <x v="0"/>
    <x v="7"/>
  </r>
  <r>
    <s v="STU-5691"/>
    <x v="4"/>
    <x v="2"/>
    <x v="4"/>
    <x v="4"/>
    <s v="Exam Prep"/>
    <n v="3.01"/>
    <n v="3.01"/>
    <n v="0"/>
    <n v="5"/>
    <x v="2"/>
    <x v="8"/>
    <x v="12"/>
  </r>
  <r>
    <s v="STU-3259"/>
    <x v="6"/>
    <x v="5"/>
    <x v="3"/>
    <x v="8"/>
    <s v="Exam Prep"/>
    <n v="2.62"/>
    <n v="2.62"/>
    <n v="0"/>
    <n v="5"/>
    <x v="2"/>
    <x v="1"/>
    <x v="13"/>
  </r>
  <r>
    <s v="STU-1410"/>
    <x v="1"/>
    <x v="5"/>
    <x v="1"/>
    <x v="5"/>
    <s v="Brainstorming"/>
    <n v="2.5299999999999998"/>
    <n v="2.63"/>
    <n v="0.10000000000000009"/>
    <n v="13"/>
    <x v="2"/>
    <x v="9"/>
    <x v="14"/>
  </r>
  <r>
    <s v="STU-0085"/>
    <x v="4"/>
    <x v="4"/>
    <x v="4"/>
    <x v="9"/>
    <s v="Exam Prep"/>
    <n v="3.11"/>
    <n v="3.01"/>
    <n v="-0.10000000000000009"/>
    <n v="5"/>
    <x v="2"/>
    <x v="0"/>
    <x v="0"/>
  </r>
  <r>
    <s v="STU-4290"/>
    <x v="1"/>
    <x v="4"/>
    <x v="2"/>
    <x v="8"/>
    <s v="Exam Prep"/>
    <n v="3.61"/>
    <n v="3.51"/>
    <n v="-0.10000000000000009"/>
    <n v="4"/>
    <x v="2"/>
    <x v="1"/>
    <x v="0"/>
  </r>
  <r>
    <s v="STU-6475"/>
    <x v="6"/>
    <x v="2"/>
    <x v="2"/>
    <x v="0"/>
    <s v="Brainstorming"/>
    <n v="3.78"/>
    <n v="3.68"/>
    <n v="-9.9999999999999645E-2"/>
    <n v="4"/>
    <x v="0"/>
    <x v="5"/>
    <x v="4"/>
  </r>
  <r>
    <s v="STU-8451"/>
    <x v="5"/>
    <x v="3"/>
    <x v="3"/>
    <x v="3"/>
    <s v="Code Debugging"/>
    <n v="3.49"/>
    <n v="3.49"/>
    <n v="0"/>
    <n v="5"/>
    <x v="1"/>
    <x v="0"/>
    <x v="3"/>
  </r>
  <r>
    <s v="STU-3118"/>
    <x v="0"/>
    <x v="5"/>
    <x v="3"/>
    <x v="8"/>
    <s v="Brainstorming"/>
    <n v="2.76"/>
    <n v="2.66"/>
    <n v="-9.9999999999999645E-2"/>
    <n v="7"/>
    <x v="2"/>
    <x v="7"/>
    <x v="15"/>
  </r>
  <r>
    <s v="STU-8330"/>
    <x v="7"/>
    <x v="5"/>
    <x v="0"/>
    <x v="0"/>
    <s v="Code Debugging"/>
    <n v="2.91"/>
    <n v="2.81"/>
    <n v="-0.10000000000000009"/>
    <n v="11"/>
    <x v="1"/>
    <x v="6"/>
    <x v="0"/>
  </r>
  <r>
    <s v="STU-7507"/>
    <x v="6"/>
    <x v="5"/>
    <x v="4"/>
    <x v="7"/>
    <s v="Essay Drafting"/>
    <n v="2.84"/>
    <n v="3.04"/>
    <n v="0.20000000000000018"/>
    <n v="10"/>
    <x v="0"/>
    <x v="2"/>
    <x v="7"/>
  </r>
  <r>
    <s v="STU-1136"/>
    <x v="6"/>
    <x v="3"/>
    <x v="0"/>
    <x v="4"/>
    <s v="Exam Prep"/>
    <n v="2.67"/>
    <n v="2.87"/>
    <n v="0.20000000000000018"/>
    <n v="14"/>
    <x v="1"/>
    <x v="6"/>
    <x v="3"/>
  </r>
  <r>
    <s v="STU-5002"/>
    <x v="4"/>
    <x v="0"/>
    <x v="3"/>
    <x v="1"/>
    <s v="Brainstorming"/>
    <n v="3.46"/>
    <n v="3.46"/>
    <n v="0"/>
    <n v="9"/>
    <x v="2"/>
    <x v="1"/>
    <x v="1"/>
  </r>
  <r>
    <s v="STU-3328"/>
    <x v="3"/>
    <x v="0"/>
    <x v="0"/>
    <x v="5"/>
    <s v="Exam Prep"/>
    <n v="3.6"/>
    <n v="3.9"/>
    <n v="0.29999999999999982"/>
    <n v="12"/>
    <x v="1"/>
    <x v="3"/>
    <x v="3"/>
  </r>
  <r>
    <s v="STU-9212"/>
    <x v="0"/>
    <x v="3"/>
    <x v="2"/>
    <x v="7"/>
    <s v="Exam Prep"/>
    <n v="3.57"/>
    <n v="3.87"/>
    <n v="0.30000000000000027"/>
    <n v="13"/>
    <x v="0"/>
    <x v="9"/>
    <x v="14"/>
  </r>
  <r>
    <s v="STU-3061"/>
    <x v="0"/>
    <x v="3"/>
    <x v="0"/>
    <x v="1"/>
    <s v="Essay Drafting"/>
    <n v="2.98"/>
    <n v="3.28"/>
    <n v="0.29999999999999982"/>
    <n v="12"/>
    <x v="2"/>
    <x v="5"/>
    <x v="5"/>
  </r>
  <r>
    <s v="STU-6425"/>
    <x v="7"/>
    <x v="2"/>
    <x v="1"/>
    <x v="9"/>
    <s v="Code Debugging"/>
    <n v="3.17"/>
    <n v="3.47"/>
    <n v="0.30000000000000027"/>
    <n v="2"/>
    <x v="1"/>
    <x v="2"/>
    <x v="14"/>
  </r>
  <r>
    <s v="STU-8111"/>
    <x v="6"/>
    <x v="1"/>
    <x v="4"/>
    <x v="1"/>
    <s v="Code Debugging"/>
    <n v="3.94"/>
    <n v="4"/>
    <n v="6.0000000000000053E-2"/>
    <n v="2"/>
    <x v="2"/>
    <x v="5"/>
    <x v="10"/>
  </r>
  <r>
    <s v="STU-2586"/>
    <x v="7"/>
    <x v="1"/>
    <x v="3"/>
    <x v="1"/>
    <s v="Literature Review"/>
    <n v="3.8"/>
    <n v="3.8"/>
    <n v="0"/>
    <n v="14"/>
    <x v="2"/>
    <x v="8"/>
    <x v="8"/>
  </r>
  <r>
    <s v="STU-2579"/>
    <x v="1"/>
    <x v="4"/>
    <x v="2"/>
    <x v="5"/>
    <s v="Literature Review"/>
    <n v="3.27"/>
    <n v="3.17"/>
    <n v="-0.10000000000000009"/>
    <n v="2"/>
    <x v="1"/>
    <x v="3"/>
    <x v="7"/>
  </r>
  <r>
    <s v="STU-1926"/>
    <x v="5"/>
    <x v="4"/>
    <x v="3"/>
    <x v="9"/>
    <s v="Code Debugging"/>
    <n v="2.65"/>
    <n v="2.95"/>
    <n v="0.30000000000000027"/>
    <n v="5"/>
    <x v="0"/>
    <x v="9"/>
    <x v="2"/>
  </r>
  <r>
    <s v="STU-8537"/>
    <x v="5"/>
    <x v="4"/>
    <x v="3"/>
    <x v="9"/>
    <s v="Literature Review"/>
    <n v="2.74"/>
    <n v="2.84"/>
    <n v="9.9999999999999645E-2"/>
    <n v="8"/>
    <x v="0"/>
    <x v="3"/>
    <x v="9"/>
  </r>
  <r>
    <s v="STU-7121"/>
    <x v="1"/>
    <x v="1"/>
    <x v="0"/>
    <x v="3"/>
    <s v="Essay Drafting"/>
    <n v="3.49"/>
    <n v="3.59"/>
    <n v="9.9999999999999645E-2"/>
    <n v="15"/>
    <x v="0"/>
    <x v="9"/>
    <x v="4"/>
  </r>
  <r>
    <s v="STU-1158"/>
    <x v="0"/>
    <x v="5"/>
    <x v="4"/>
    <x v="5"/>
    <s v="Essay Drafting"/>
    <n v="3.53"/>
    <n v="3.53"/>
    <n v="0"/>
    <n v="13"/>
    <x v="2"/>
    <x v="2"/>
    <x v="7"/>
  </r>
  <r>
    <s v="STU-7842"/>
    <x v="6"/>
    <x v="1"/>
    <x v="1"/>
    <x v="0"/>
    <s v="Literature Review"/>
    <n v="3.23"/>
    <n v="3.53"/>
    <n v="0.29999999999999982"/>
    <n v="10"/>
    <x v="0"/>
    <x v="2"/>
    <x v="9"/>
  </r>
  <r>
    <s v="STU-3822"/>
    <x v="6"/>
    <x v="2"/>
    <x v="1"/>
    <x v="5"/>
    <s v="Exam Prep"/>
    <n v="3.28"/>
    <n v="3.58"/>
    <n v="0.30000000000000027"/>
    <n v="3"/>
    <x v="0"/>
    <x v="5"/>
    <x v="11"/>
  </r>
  <r>
    <s v="STU-5346"/>
    <x v="1"/>
    <x v="0"/>
    <x v="1"/>
    <x v="3"/>
    <s v="Essay Drafting"/>
    <n v="3.31"/>
    <n v="3.61"/>
    <n v="0.29999999999999982"/>
    <n v="2"/>
    <x v="2"/>
    <x v="0"/>
    <x v="8"/>
  </r>
  <r>
    <s v="STU-9187"/>
    <x v="3"/>
    <x v="3"/>
    <x v="0"/>
    <x v="0"/>
    <s v="Exam Prep"/>
    <n v="3.71"/>
    <n v="3.61"/>
    <n v="-0.10000000000000009"/>
    <n v="14"/>
    <x v="0"/>
    <x v="4"/>
    <x v="9"/>
  </r>
  <r>
    <s v="STU-5623"/>
    <x v="3"/>
    <x v="2"/>
    <x v="1"/>
    <x v="6"/>
    <s v="Literature Review"/>
    <n v="3.32"/>
    <n v="3.42"/>
    <n v="0.10000000000000009"/>
    <n v="6"/>
    <x v="2"/>
    <x v="9"/>
    <x v="14"/>
  </r>
  <r>
    <s v="STU-1571"/>
    <x v="4"/>
    <x v="4"/>
    <x v="4"/>
    <x v="8"/>
    <s v="Essay Drafting"/>
    <n v="3.08"/>
    <n v="3.08"/>
    <n v="0"/>
    <n v="14"/>
    <x v="2"/>
    <x v="7"/>
    <x v="15"/>
  </r>
  <r>
    <s v="STU-8897"/>
    <x v="1"/>
    <x v="3"/>
    <x v="2"/>
    <x v="0"/>
    <s v="Brainstorming"/>
    <n v="3.76"/>
    <n v="3.66"/>
    <n v="-9.9999999999999645E-2"/>
    <n v="12"/>
    <x v="1"/>
    <x v="2"/>
    <x v="14"/>
  </r>
  <r>
    <s v="STU-5760"/>
    <x v="6"/>
    <x v="2"/>
    <x v="1"/>
    <x v="6"/>
    <s v="Exam Prep"/>
    <n v="2.84"/>
    <n v="2.94"/>
    <n v="0.10000000000000009"/>
    <n v="9"/>
    <x v="1"/>
    <x v="9"/>
    <x v="9"/>
  </r>
  <r>
    <s v="STU-9648"/>
    <x v="6"/>
    <x v="3"/>
    <x v="2"/>
    <x v="1"/>
    <s v="Code Debugging"/>
    <n v="3.78"/>
    <n v="4"/>
    <n v="0.2200000000000002"/>
    <n v="4"/>
    <x v="1"/>
    <x v="0"/>
    <x v="11"/>
  </r>
  <r>
    <s v="STU-1099"/>
    <x v="7"/>
    <x v="4"/>
    <x v="0"/>
    <x v="0"/>
    <s v="Brainstorming"/>
    <n v="3.92"/>
    <n v="3.82"/>
    <n v="-0.10000000000000009"/>
    <n v="2"/>
    <x v="0"/>
    <x v="9"/>
    <x v="11"/>
  </r>
  <r>
    <s v="STU-6040"/>
    <x v="4"/>
    <x v="3"/>
    <x v="2"/>
    <x v="2"/>
    <s v="Literature Review"/>
    <n v="2.65"/>
    <n v="2.75"/>
    <n v="0.10000000000000009"/>
    <n v="12"/>
    <x v="0"/>
    <x v="1"/>
    <x v="5"/>
  </r>
  <r>
    <s v="STU-3504"/>
    <x v="3"/>
    <x v="0"/>
    <x v="0"/>
    <x v="8"/>
    <s v="Code Debugging"/>
    <n v="3.88"/>
    <n v="3.88"/>
    <n v="0"/>
    <n v="3"/>
    <x v="2"/>
    <x v="8"/>
    <x v="1"/>
  </r>
  <r>
    <s v="STU-5452"/>
    <x v="1"/>
    <x v="4"/>
    <x v="4"/>
    <x v="7"/>
    <s v="Exam Prep"/>
    <n v="3.74"/>
    <n v="3.64"/>
    <n v="-0.10000000000000009"/>
    <n v="14"/>
    <x v="0"/>
    <x v="7"/>
    <x v="8"/>
  </r>
  <r>
    <s v="STU-2968"/>
    <x v="4"/>
    <x v="2"/>
    <x v="2"/>
    <x v="5"/>
    <s v="Brainstorming"/>
    <n v="3.02"/>
    <n v="2.92"/>
    <n v="-0.10000000000000009"/>
    <n v="7"/>
    <x v="2"/>
    <x v="9"/>
    <x v="8"/>
  </r>
  <r>
    <s v="STU-7617"/>
    <x v="0"/>
    <x v="5"/>
    <x v="0"/>
    <x v="4"/>
    <s v="Brainstorming"/>
    <n v="3.24"/>
    <n v="3.14"/>
    <n v="-0.10000000000000009"/>
    <n v="7"/>
    <x v="0"/>
    <x v="9"/>
    <x v="10"/>
  </r>
  <r>
    <s v="STU-3817"/>
    <x v="5"/>
    <x v="2"/>
    <x v="1"/>
    <x v="7"/>
    <s v="Code Debugging"/>
    <n v="2.75"/>
    <n v="2.65"/>
    <n v="-0.10000000000000009"/>
    <n v="2"/>
    <x v="1"/>
    <x v="3"/>
    <x v="3"/>
  </r>
  <r>
    <s v="STU-6924"/>
    <x v="5"/>
    <x v="4"/>
    <x v="2"/>
    <x v="7"/>
    <s v="Code Debugging"/>
    <n v="3.31"/>
    <n v="3.41"/>
    <n v="0.10000000000000009"/>
    <n v="5"/>
    <x v="0"/>
    <x v="0"/>
    <x v="11"/>
  </r>
  <r>
    <s v="STU-8271"/>
    <x v="3"/>
    <x v="3"/>
    <x v="3"/>
    <x v="5"/>
    <s v="Brainstorming"/>
    <n v="2.77"/>
    <n v="2.87"/>
    <n v="0.10000000000000009"/>
    <n v="14"/>
    <x v="1"/>
    <x v="1"/>
    <x v="3"/>
  </r>
  <r>
    <s v="STU-4360"/>
    <x v="1"/>
    <x v="4"/>
    <x v="0"/>
    <x v="5"/>
    <s v="Essay Drafting"/>
    <n v="3.36"/>
    <n v="3.66"/>
    <n v="0.30000000000000027"/>
    <n v="2"/>
    <x v="1"/>
    <x v="8"/>
    <x v="2"/>
  </r>
  <r>
    <s v="STU-4382"/>
    <x v="6"/>
    <x v="3"/>
    <x v="0"/>
    <x v="7"/>
    <s v="Code Debugging"/>
    <n v="3.99"/>
    <n v="4"/>
    <n v="9.9999999999997868E-3"/>
    <n v="9"/>
    <x v="0"/>
    <x v="8"/>
    <x v="4"/>
  </r>
  <r>
    <s v="STU-5215"/>
    <x v="1"/>
    <x v="1"/>
    <x v="3"/>
    <x v="1"/>
    <s v="Literature Review"/>
    <n v="3.39"/>
    <n v="3.29"/>
    <n v="-0.10000000000000009"/>
    <n v="2"/>
    <x v="0"/>
    <x v="7"/>
    <x v="0"/>
  </r>
  <r>
    <s v="STU-9411"/>
    <x v="1"/>
    <x v="0"/>
    <x v="2"/>
    <x v="8"/>
    <s v="Literature Review"/>
    <n v="3.5"/>
    <n v="3.5"/>
    <n v="0"/>
    <n v="9"/>
    <x v="1"/>
    <x v="4"/>
    <x v="12"/>
  </r>
  <r>
    <s v="STU-0493"/>
    <x v="2"/>
    <x v="2"/>
    <x v="3"/>
    <x v="1"/>
    <s v="Brainstorming"/>
    <n v="2.73"/>
    <n v="2.83"/>
    <n v="0.10000000000000009"/>
    <n v="3"/>
    <x v="0"/>
    <x v="9"/>
    <x v="11"/>
  </r>
  <r>
    <s v="STU-8809"/>
    <x v="5"/>
    <x v="2"/>
    <x v="0"/>
    <x v="7"/>
    <s v="Essay Drafting"/>
    <n v="2.5299999999999998"/>
    <n v="2.4300000000000002"/>
    <n v="-9.9999999999999645E-2"/>
    <n v="13"/>
    <x v="2"/>
    <x v="5"/>
    <x v="4"/>
  </r>
  <r>
    <s v="STU-2544"/>
    <x v="0"/>
    <x v="1"/>
    <x v="1"/>
    <x v="4"/>
    <s v="Exam Prep"/>
    <n v="3.49"/>
    <n v="3.39"/>
    <n v="-0.10000000000000009"/>
    <n v="7"/>
    <x v="2"/>
    <x v="4"/>
    <x v="11"/>
  </r>
  <r>
    <s v="STU-2618"/>
    <x v="4"/>
    <x v="2"/>
    <x v="2"/>
    <x v="2"/>
    <s v="Literature Review"/>
    <n v="2.5099999999999998"/>
    <n v="2.5099999999999998"/>
    <n v="0"/>
    <n v="11"/>
    <x v="1"/>
    <x v="1"/>
    <x v="13"/>
  </r>
  <r>
    <s v="STU-5127"/>
    <x v="5"/>
    <x v="5"/>
    <x v="1"/>
    <x v="6"/>
    <s v="Literature Review"/>
    <n v="3.89"/>
    <n v="3.89"/>
    <n v="0"/>
    <n v="8"/>
    <x v="1"/>
    <x v="9"/>
    <x v="5"/>
  </r>
  <r>
    <s v="STU-9746"/>
    <x v="6"/>
    <x v="2"/>
    <x v="2"/>
    <x v="8"/>
    <s v="Essay Drafting"/>
    <n v="3.31"/>
    <n v="3.21"/>
    <n v="-0.10000000000000009"/>
    <n v="13"/>
    <x v="2"/>
    <x v="9"/>
    <x v="1"/>
  </r>
  <r>
    <s v="STU-3107"/>
    <x v="1"/>
    <x v="2"/>
    <x v="0"/>
    <x v="7"/>
    <s v="Essay Drafting"/>
    <n v="3.66"/>
    <n v="3.76"/>
    <n v="9.9999999999999645E-2"/>
    <n v="4"/>
    <x v="2"/>
    <x v="4"/>
    <x v="13"/>
  </r>
  <r>
    <s v="STU-4389"/>
    <x v="5"/>
    <x v="1"/>
    <x v="4"/>
    <x v="0"/>
    <s v="Literature Review"/>
    <n v="2.67"/>
    <n v="2.77"/>
    <n v="0.10000000000000009"/>
    <n v="6"/>
    <x v="2"/>
    <x v="3"/>
    <x v="7"/>
  </r>
  <r>
    <s v="STU-6252"/>
    <x v="1"/>
    <x v="5"/>
    <x v="1"/>
    <x v="3"/>
    <s v="Brainstorming"/>
    <n v="3.7"/>
    <n v="3.7"/>
    <n v="0"/>
    <n v="2"/>
    <x v="2"/>
    <x v="5"/>
    <x v="5"/>
  </r>
  <r>
    <s v="STU-7947"/>
    <x v="0"/>
    <x v="5"/>
    <x v="0"/>
    <x v="6"/>
    <s v="Code Debugging"/>
    <n v="3.55"/>
    <n v="3.85"/>
    <n v="0.30000000000000027"/>
    <n v="7"/>
    <x v="1"/>
    <x v="5"/>
    <x v="3"/>
  </r>
  <r>
    <s v="STU-1546"/>
    <x v="4"/>
    <x v="5"/>
    <x v="0"/>
    <x v="6"/>
    <s v="Literature Review"/>
    <n v="3.11"/>
    <n v="3.41"/>
    <n v="0.30000000000000027"/>
    <n v="13"/>
    <x v="1"/>
    <x v="5"/>
    <x v="7"/>
  </r>
  <r>
    <s v="STU-1266"/>
    <x v="5"/>
    <x v="0"/>
    <x v="3"/>
    <x v="0"/>
    <s v="Literature Review"/>
    <n v="2.94"/>
    <n v="3.04"/>
    <n v="0.10000000000000009"/>
    <n v="12"/>
    <x v="1"/>
    <x v="4"/>
    <x v="11"/>
  </r>
  <r>
    <s v="STU-2655"/>
    <x v="1"/>
    <x v="4"/>
    <x v="2"/>
    <x v="5"/>
    <s v="Essay Drafting"/>
    <n v="2.75"/>
    <n v="3.05"/>
    <n v="0.29999999999999982"/>
    <n v="4"/>
    <x v="0"/>
    <x v="2"/>
    <x v="15"/>
  </r>
  <r>
    <s v="STU-4589"/>
    <x v="3"/>
    <x v="4"/>
    <x v="2"/>
    <x v="6"/>
    <s v="Literature Review"/>
    <n v="3.9"/>
    <n v="3.8"/>
    <n v="-0.10000000000000009"/>
    <n v="14"/>
    <x v="2"/>
    <x v="4"/>
    <x v="13"/>
  </r>
  <r>
    <s v="STU-7270"/>
    <x v="5"/>
    <x v="4"/>
    <x v="3"/>
    <x v="8"/>
    <s v="Exam Prep"/>
    <n v="2.6"/>
    <n v="2.5"/>
    <n v="-0.10000000000000009"/>
    <n v="15"/>
    <x v="2"/>
    <x v="7"/>
    <x v="11"/>
  </r>
  <r>
    <s v="STU-7134"/>
    <x v="7"/>
    <x v="1"/>
    <x v="2"/>
    <x v="6"/>
    <s v="Essay Drafting"/>
    <n v="3.24"/>
    <n v="3.24"/>
    <n v="0"/>
    <n v="8"/>
    <x v="2"/>
    <x v="4"/>
    <x v="1"/>
  </r>
  <r>
    <s v="STU-1695"/>
    <x v="6"/>
    <x v="4"/>
    <x v="2"/>
    <x v="2"/>
    <s v="Literature Review"/>
    <n v="3.41"/>
    <n v="3.51"/>
    <n v="9.9999999999999645E-2"/>
    <n v="5"/>
    <x v="2"/>
    <x v="6"/>
    <x v="10"/>
  </r>
  <r>
    <s v="STU-1760"/>
    <x v="2"/>
    <x v="0"/>
    <x v="0"/>
    <x v="2"/>
    <s v="Essay Drafting"/>
    <n v="2.54"/>
    <n v="2.74"/>
    <n v="0.20000000000000018"/>
    <n v="11"/>
    <x v="2"/>
    <x v="3"/>
    <x v="2"/>
  </r>
  <r>
    <s v="STU-4168"/>
    <x v="0"/>
    <x v="5"/>
    <x v="3"/>
    <x v="9"/>
    <s v="Exam Prep"/>
    <n v="2.76"/>
    <n v="2.76"/>
    <n v="0"/>
    <n v="4"/>
    <x v="1"/>
    <x v="1"/>
    <x v="2"/>
  </r>
  <r>
    <s v="STU-3357"/>
    <x v="7"/>
    <x v="2"/>
    <x v="3"/>
    <x v="1"/>
    <s v="Essay Drafting"/>
    <n v="3.33"/>
    <n v="3.23"/>
    <n v="-0.10000000000000009"/>
    <n v="3"/>
    <x v="2"/>
    <x v="7"/>
    <x v="7"/>
  </r>
  <r>
    <s v="STU-1687"/>
    <x v="7"/>
    <x v="3"/>
    <x v="2"/>
    <x v="3"/>
    <s v="Code Debugging"/>
    <n v="3.91"/>
    <n v="3.81"/>
    <n v="-0.10000000000000009"/>
    <n v="10"/>
    <x v="2"/>
    <x v="3"/>
    <x v="2"/>
  </r>
  <r>
    <s v="STU-1949"/>
    <x v="6"/>
    <x v="5"/>
    <x v="2"/>
    <x v="8"/>
    <s v="Literature Review"/>
    <n v="3.82"/>
    <n v="4"/>
    <n v="0.18000000000000016"/>
    <n v="9"/>
    <x v="2"/>
    <x v="1"/>
    <x v="9"/>
  </r>
  <r>
    <s v="STU-1435"/>
    <x v="5"/>
    <x v="2"/>
    <x v="4"/>
    <x v="6"/>
    <s v="Literature Review"/>
    <n v="2.72"/>
    <n v="3.02"/>
    <n v="0.29999999999999982"/>
    <n v="9"/>
    <x v="0"/>
    <x v="6"/>
    <x v="0"/>
  </r>
  <r>
    <s v="STU-6495"/>
    <x v="2"/>
    <x v="5"/>
    <x v="2"/>
    <x v="4"/>
    <s v="Essay Drafting"/>
    <n v="2.87"/>
    <n v="3.07"/>
    <n v="0.19999999999999973"/>
    <n v="14"/>
    <x v="1"/>
    <x v="9"/>
    <x v="1"/>
  </r>
  <r>
    <s v="STU-6032"/>
    <x v="6"/>
    <x v="5"/>
    <x v="2"/>
    <x v="6"/>
    <s v="Exam Prep"/>
    <n v="3.15"/>
    <n v="3.35"/>
    <n v="0.20000000000000018"/>
    <n v="13"/>
    <x v="2"/>
    <x v="8"/>
    <x v="6"/>
  </r>
  <r>
    <s v="STU-8436"/>
    <x v="6"/>
    <x v="2"/>
    <x v="1"/>
    <x v="7"/>
    <s v="Code Debugging"/>
    <n v="3.19"/>
    <n v="3.29"/>
    <n v="0.10000000000000009"/>
    <n v="5"/>
    <x v="0"/>
    <x v="4"/>
    <x v="7"/>
  </r>
  <r>
    <s v="STU-0452"/>
    <x v="4"/>
    <x v="5"/>
    <x v="1"/>
    <x v="1"/>
    <s v="Essay Drafting"/>
    <n v="2.66"/>
    <n v="2.96"/>
    <n v="0.29999999999999982"/>
    <n v="9"/>
    <x v="1"/>
    <x v="2"/>
    <x v="8"/>
  </r>
  <r>
    <s v="STU-9507"/>
    <x v="6"/>
    <x v="5"/>
    <x v="2"/>
    <x v="0"/>
    <s v="Essay Drafting"/>
    <n v="3.98"/>
    <n v="3.98"/>
    <n v="0"/>
    <n v="2"/>
    <x v="1"/>
    <x v="2"/>
    <x v="13"/>
  </r>
  <r>
    <s v="STU-2683"/>
    <x v="3"/>
    <x v="2"/>
    <x v="3"/>
    <x v="8"/>
    <s v="Exam Prep"/>
    <n v="3.53"/>
    <n v="3.53"/>
    <n v="0"/>
    <n v="11"/>
    <x v="2"/>
    <x v="8"/>
    <x v="8"/>
  </r>
  <r>
    <s v="STU-4320"/>
    <x v="2"/>
    <x v="0"/>
    <x v="2"/>
    <x v="7"/>
    <s v="Code Debugging"/>
    <n v="3.49"/>
    <n v="3.49"/>
    <n v="0"/>
    <n v="4"/>
    <x v="2"/>
    <x v="2"/>
    <x v="14"/>
  </r>
  <r>
    <s v="STU-5299"/>
    <x v="7"/>
    <x v="3"/>
    <x v="0"/>
    <x v="0"/>
    <s v="Brainstorming"/>
    <n v="2.72"/>
    <n v="2.92"/>
    <n v="0.19999999999999973"/>
    <n v="4"/>
    <x v="1"/>
    <x v="2"/>
    <x v="4"/>
  </r>
  <r>
    <s v="STU-2442"/>
    <x v="7"/>
    <x v="1"/>
    <x v="4"/>
    <x v="4"/>
    <s v="Essay Drafting"/>
    <n v="3.41"/>
    <n v="3.51"/>
    <n v="9.9999999999999645E-2"/>
    <n v="4"/>
    <x v="1"/>
    <x v="1"/>
    <x v="4"/>
  </r>
  <r>
    <s v="STU-9880"/>
    <x v="6"/>
    <x v="1"/>
    <x v="3"/>
    <x v="3"/>
    <s v="Code Debugging"/>
    <n v="2.72"/>
    <n v="2.82"/>
    <n v="9.9999999999999645E-2"/>
    <n v="2"/>
    <x v="0"/>
    <x v="9"/>
    <x v="9"/>
  </r>
  <r>
    <s v="STU-9478"/>
    <x v="2"/>
    <x v="0"/>
    <x v="3"/>
    <x v="5"/>
    <s v="Literature Review"/>
    <n v="3.1"/>
    <n v="3.4"/>
    <n v="0.29999999999999982"/>
    <n v="2"/>
    <x v="0"/>
    <x v="3"/>
    <x v="13"/>
  </r>
  <r>
    <s v="STU-8223"/>
    <x v="7"/>
    <x v="5"/>
    <x v="4"/>
    <x v="2"/>
    <s v="Code Debugging"/>
    <n v="2.69"/>
    <n v="2.69"/>
    <n v="0"/>
    <n v="10"/>
    <x v="2"/>
    <x v="9"/>
    <x v="9"/>
  </r>
  <r>
    <s v="STU-3985"/>
    <x v="6"/>
    <x v="5"/>
    <x v="1"/>
    <x v="0"/>
    <s v="Essay Drafting"/>
    <n v="2.62"/>
    <n v="2.62"/>
    <n v="0"/>
    <n v="12"/>
    <x v="0"/>
    <x v="9"/>
    <x v="2"/>
  </r>
  <r>
    <s v="STU-9159"/>
    <x v="1"/>
    <x v="2"/>
    <x v="4"/>
    <x v="3"/>
    <s v="Code Debugging"/>
    <n v="3.94"/>
    <n v="3.84"/>
    <n v="-0.10000000000000009"/>
    <n v="9"/>
    <x v="2"/>
    <x v="8"/>
    <x v="2"/>
  </r>
  <r>
    <s v="STU-8117"/>
    <x v="3"/>
    <x v="2"/>
    <x v="0"/>
    <x v="3"/>
    <s v="Exam Prep"/>
    <n v="3.63"/>
    <n v="3.63"/>
    <n v="0"/>
    <n v="9"/>
    <x v="0"/>
    <x v="6"/>
    <x v="14"/>
  </r>
  <r>
    <s v="STU-1174"/>
    <x v="5"/>
    <x v="5"/>
    <x v="1"/>
    <x v="9"/>
    <s v="Brainstorming"/>
    <n v="2.85"/>
    <n v="2.95"/>
    <n v="0.10000000000000009"/>
    <n v="2"/>
    <x v="2"/>
    <x v="3"/>
    <x v="11"/>
  </r>
  <r>
    <s v="STU-2119"/>
    <x v="4"/>
    <x v="4"/>
    <x v="3"/>
    <x v="9"/>
    <s v="Exam Prep"/>
    <n v="2.56"/>
    <n v="2.46"/>
    <n v="-0.10000000000000009"/>
    <n v="9"/>
    <x v="2"/>
    <x v="5"/>
    <x v="15"/>
  </r>
  <r>
    <s v="STU-7391"/>
    <x v="3"/>
    <x v="2"/>
    <x v="0"/>
    <x v="5"/>
    <s v="Code Debugging"/>
    <n v="3.22"/>
    <n v="3.22"/>
    <n v="0"/>
    <n v="10"/>
    <x v="1"/>
    <x v="0"/>
    <x v="5"/>
  </r>
  <r>
    <s v="STU-8831"/>
    <x v="0"/>
    <x v="0"/>
    <x v="1"/>
    <x v="2"/>
    <s v="Code Debugging"/>
    <n v="3.11"/>
    <n v="3.41"/>
    <n v="0.30000000000000027"/>
    <n v="10"/>
    <x v="1"/>
    <x v="1"/>
    <x v="4"/>
  </r>
  <r>
    <s v="STU-0369"/>
    <x v="4"/>
    <x v="5"/>
    <x v="0"/>
    <x v="2"/>
    <s v="Exam Prep"/>
    <n v="3.76"/>
    <n v="3.66"/>
    <n v="-9.9999999999999645E-2"/>
    <n v="7"/>
    <x v="2"/>
    <x v="8"/>
    <x v="15"/>
  </r>
  <r>
    <s v="STU-8148"/>
    <x v="2"/>
    <x v="3"/>
    <x v="4"/>
    <x v="5"/>
    <s v="Essay Drafting"/>
    <n v="3.48"/>
    <n v="3.48"/>
    <n v="0"/>
    <n v="10"/>
    <x v="2"/>
    <x v="0"/>
    <x v="8"/>
  </r>
  <r>
    <s v="STU-2302"/>
    <x v="0"/>
    <x v="1"/>
    <x v="1"/>
    <x v="0"/>
    <s v="Essay Drafting"/>
    <n v="4"/>
    <n v="4"/>
    <n v="0"/>
    <n v="10"/>
    <x v="2"/>
    <x v="1"/>
    <x v="13"/>
  </r>
  <r>
    <s v="STU-3737"/>
    <x v="7"/>
    <x v="3"/>
    <x v="0"/>
    <x v="6"/>
    <s v="Brainstorming"/>
    <n v="3.33"/>
    <n v="3.33"/>
    <n v="0"/>
    <n v="7"/>
    <x v="0"/>
    <x v="1"/>
    <x v="0"/>
  </r>
  <r>
    <s v="STU-4824"/>
    <x v="7"/>
    <x v="4"/>
    <x v="3"/>
    <x v="4"/>
    <s v="Literature Review"/>
    <n v="2.56"/>
    <n v="2.46"/>
    <n v="-0.10000000000000009"/>
    <n v="11"/>
    <x v="2"/>
    <x v="9"/>
    <x v="3"/>
  </r>
  <r>
    <s v="STU-8121"/>
    <x v="6"/>
    <x v="1"/>
    <x v="4"/>
    <x v="7"/>
    <s v="Essay Drafting"/>
    <n v="3.82"/>
    <n v="3.72"/>
    <n v="-9.9999999999999645E-2"/>
    <n v="14"/>
    <x v="0"/>
    <x v="0"/>
    <x v="11"/>
  </r>
  <r>
    <s v="STU-4137"/>
    <x v="7"/>
    <x v="4"/>
    <x v="3"/>
    <x v="6"/>
    <s v="Literature Review"/>
    <n v="3.08"/>
    <n v="3.08"/>
    <n v="0"/>
    <n v="7"/>
    <x v="2"/>
    <x v="3"/>
    <x v="1"/>
  </r>
  <r>
    <s v="STU-6017"/>
    <x v="3"/>
    <x v="2"/>
    <x v="1"/>
    <x v="4"/>
    <s v="Exam Prep"/>
    <n v="3.13"/>
    <n v="3.13"/>
    <n v="0"/>
    <n v="8"/>
    <x v="2"/>
    <x v="5"/>
    <x v="6"/>
  </r>
  <r>
    <s v="STU-7323"/>
    <x v="7"/>
    <x v="4"/>
    <x v="1"/>
    <x v="2"/>
    <s v="Literature Review"/>
    <n v="3.5"/>
    <n v="3.5"/>
    <n v="0"/>
    <n v="3"/>
    <x v="2"/>
    <x v="3"/>
    <x v="15"/>
  </r>
  <r>
    <s v="STU-7652"/>
    <x v="3"/>
    <x v="1"/>
    <x v="0"/>
    <x v="0"/>
    <s v="Code Debugging"/>
    <n v="3.16"/>
    <n v="3.36"/>
    <n v="0.19999999999999973"/>
    <n v="12"/>
    <x v="2"/>
    <x v="0"/>
    <x v="5"/>
  </r>
  <r>
    <s v="STU-6977"/>
    <x v="3"/>
    <x v="5"/>
    <x v="3"/>
    <x v="1"/>
    <s v="Exam Prep"/>
    <n v="3.78"/>
    <n v="3.98"/>
    <n v="0.20000000000000018"/>
    <n v="3"/>
    <x v="0"/>
    <x v="6"/>
    <x v="11"/>
  </r>
  <r>
    <s v="STU-2766"/>
    <x v="4"/>
    <x v="2"/>
    <x v="3"/>
    <x v="2"/>
    <s v="Essay Drafting"/>
    <n v="3.15"/>
    <n v="3.25"/>
    <n v="0.10000000000000009"/>
    <n v="10"/>
    <x v="0"/>
    <x v="2"/>
    <x v="10"/>
  </r>
  <r>
    <s v="STU-2230"/>
    <x v="3"/>
    <x v="2"/>
    <x v="4"/>
    <x v="2"/>
    <s v="Essay Drafting"/>
    <n v="2.76"/>
    <n v="3.06"/>
    <n v="0.30000000000000027"/>
    <n v="12"/>
    <x v="1"/>
    <x v="1"/>
    <x v="1"/>
  </r>
  <r>
    <s v="STU-6557"/>
    <x v="1"/>
    <x v="3"/>
    <x v="0"/>
    <x v="2"/>
    <s v="Exam Prep"/>
    <n v="3.92"/>
    <n v="3.82"/>
    <n v="-0.10000000000000009"/>
    <n v="6"/>
    <x v="2"/>
    <x v="4"/>
    <x v="7"/>
  </r>
  <r>
    <s v="STU-7692"/>
    <x v="1"/>
    <x v="5"/>
    <x v="4"/>
    <x v="3"/>
    <s v="Literature Review"/>
    <n v="3.89"/>
    <n v="3.79"/>
    <n v="-0.10000000000000009"/>
    <n v="2"/>
    <x v="1"/>
    <x v="1"/>
    <x v="3"/>
  </r>
  <r>
    <s v="STU-3839"/>
    <x v="2"/>
    <x v="0"/>
    <x v="1"/>
    <x v="4"/>
    <s v="Essay Drafting"/>
    <n v="3.53"/>
    <n v="3.63"/>
    <n v="0.10000000000000009"/>
    <n v="7"/>
    <x v="1"/>
    <x v="5"/>
    <x v="0"/>
  </r>
  <r>
    <s v="STU-0572"/>
    <x v="6"/>
    <x v="2"/>
    <x v="4"/>
    <x v="4"/>
    <s v="Literature Review"/>
    <n v="2.97"/>
    <n v="2.97"/>
    <n v="0"/>
    <n v="11"/>
    <x v="2"/>
    <x v="8"/>
    <x v="8"/>
  </r>
  <r>
    <s v="STU-3912"/>
    <x v="1"/>
    <x v="5"/>
    <x v="1"/>
    <x v="2"/>
    <s v="Brainstorming"/>
    <n v="2.75"/>
    <n v="2.65"/>
    <n v="-0.10000000000000009"/>
    <n v="15"/>
    <x v="1"/>
    <x v="4"/>
    <x v="3"/>
  </r>
  <r>
    <s v="STU-6725"/>
    <x v="4"/>
    <x v="4"/>
    <x v="2"/>
    <x v="1"/>
    <s v="Essay Drafting"/>
    <n v="3.37"/>
    <n v="3.47"/>
    <n v="0.10000000000000009"/>
    <n v="12"/>
    <x v="2"/>
    <x v="4"/>
    <x v="12"/>
  </r>
  <r>
    <s v="STU-7668"/>
    <x v="2"/>
    <x v="4"/>
    <x v="4"/>
    <x v="6"/>
    <s v="Literature Review"/>
    <n v="3.54"/>
    <n v="3.74"/>
    <n v="0.20000000000000018"/>
    <n v="13"/>
    <x v="2"/>
    <x v="0"/>
    <x v="5"/>
  </r>
  <r>
    <s v="STU-9929"/>
    <x v="5"/>
    <x v="0"/>
    <x v="0"/>
    <x v="9"/>
    <s v="Brainstorming"/>
    <n v="3.25"/>
    <n v="3.35"/>
    <n v="0.10000000000000009"/>
    <n v="11"/>
    <x v="2"/>
    <x v="2"/>
    <x v="11"/>
  </r>
  <r>
    <s v="STU-8146"/>
    <x v="2"/>
    <x v="4"/>
    <x v="3"/>
    <x v="2"/>
    <s v="Exam Prep"/>
    <n v="3.17"/>
    <n v="3.37"/>
    <n v="0.20000000000000018"/>
    <n v="5"/>
    <x v="0"/>
    <x v="6"/>
    <x v="6"/>
  </r>
  <r>
    <s v="STU-0324"/>
    <x v="2"/>
    <x v="2"/>
    <x v="1"/>
    <x v="9"/>
    <s v="Literature Review"/>
    <n v="3.6"/>
    <n v="3.7"/>
    <n v="0.10000000000000009"/>
    <n v="15"/>
    <x v="0"/>
    <x v="6"/>
    <x v="4"/>
  </r>
  <r>
    <s v="STU-5506"/>
    <x v="5"/>
    <x v="5"/>
    <x v="1"/>
    <x v="0"/>
    <s v="Literature Review"/>
    <n v="3.22"/>
    <n v="3.42"/>
    <n v="0.19999999999999973"/>
    <n v="9"/>
    <x v="1"/>
    <x v="9"/>
    <x v="12"/>
  </r>
  <r>
    <s v="STU-6004"/>
    <x v="7"/>
    <x v="2"/>
    <x v="4"/>
    <x v="8"/>
    <s v="Literature Review"/>
    <n v="3.84"/>
    <n v="4"/>
    <n v="0.16000000000000014"/>
    <n v="7"/>
    <x v="2"/>
    <x v="6"/>
    <x v="1"/>
  </r>
  <r>
    <s v="STU-4404"/>
    <x v="3"/>
    <x v="5"/>
    <x v="0"/>
    <x v="1"/>
    <s v="Essay Drafting"/>
    <n v="3.01"/>
    <n v="2.91"/>
    <n v="-9.9999999999999645E-2"/>
    <n v="2"/>
    <x v="0"/>
    <x v="7"/>
    <x v="8"/>
  </r>
  <r>
    <s v="STU-2551"/>
    <x v="6"/>
    <x v="3"/>
    <x v="4"/>
    <x v="3"/>
    <s v="Exam Prep"/>
    <n v="3.12"/>
    <n v="3.42"/>
    <n v="0.29999999999999982"/>
    <n v="8"/>
    <x v="0"/>
    <x v="2"/>
    <x v="1"/>
  </r>
  <r>
    <s v="STU-6813"/>
    <x v="5"/>
    <x v="3"/>
    <x v="2"/>
    <x v="4"/>
    <s v="Brainstorming"/>
    <n v="3.63"/>
    <n v="3.63"/>
    <n v="0"/>
    <n v="10"/>
    <x v="2"/>
    <x v="5"/>
    <x v="10"/>
  </r>
  <r>
    <s v="STU-0436"/>
    <x v="2"/>
    <x v="5"/>
    <x v="2"/>
    <x v="4"/>
    <s v="Literature Review"/>
    <n v="3.92"/>
    <n v="4"/>
    <n v="8.0000000000000071E-2"/>
    <n v="4"/>
    <x v="0"/>
    <x v="4"/>
    <x v="3"/>
  </r>
  <r>
    <s v="STU-0895"/>
    <x v="3"/>
    <x v="2"/>
    <x v="1"/>
    <x v="0"/>
    <s v="Code Debugging"/>
    <n v="3.14"/>
    <n v="3.34"/>
    <n v="0.19999999999999973"/>
    <n v="13"/>
    <x v="2"/>
    <x v="2"/>
    <x v="11"/>
  </r>
  <r>
    <s v="STU-7838"/>
    <x v="5"/>
    <x v="5"/>
    <x v="3"/>
    <x v="1"/>
    <s v="Brainstorming"/>
    <n v="3.62"/>
    <n v="3.62"/>
    <n v="0"/>
    <n v="2"/>
    <x v="2"/>
    <x v="4"/>
    <x v="8"/>
  </r>
  <r>
    <s v="STU-8029"/>
    <x v="4"/>
    <x v="0"/>
    <x v="0"/>
    <x v="4"/>
    <s v="Essay Drafting"/>
    <n v="3.25"/>
    <n v="3.15"/>
    <n v="-0.10000000000000009"/>
    <n v="8"/>
    <x v="2"/>
    <x v="6"/>
    <x v="14"/>
  </r>
  <r>
    <s v="STU-2281"/>
    <x v="2"/>
    <x v="2"/>
    <x v="3"/>
    <x v="0"/>
    <s v="Exam Prep"/>
    <n v="3.4"/>
    <n v="3.5"/>
    <n v="0.10000000000000009"/>
    <n v="4"/>
    <x v="0"/>
    <x v="5"/>
    <x v="13"/>
  </r>
  <r>
    <s v="STU-6951"/>
    <x v="4"/>
    <x v="5"/>
    <x v="3"/>
    <x v="3"/>
    <s v="Brainstorming"/>
    <n v="3.05"/>
    <n v="2.95"/>
    <n v="-9.9999999999999645E-2"/>
    <n v="11"/>
    <x v="1"/>
    <x v="3"/>
    <x v="5"/>
  </r>
  <r>
    <s v="STU-4726"/>
    <x v="4"/>
    <x v="5"/>
    <x v="1"/>
    <x v="1"/>
    <s v="Essay Drafting"/>
    <n v="3.26"/>
    <n v="3.26"/>
    <n v="0"/>
    <n v="15"/>
    <x v="1"/>
    <x v="0"/>
    <x v="1"/>
  </r>
  <r>
    <s v="STU-3525"/>
    <x v="7"/>
    <x v="1"/>
    <x v="1"/>
    <x v="1"/>
    <s v="Literature Review"/>
    <n v="3.36"/>
    <n v="3.26"/>
    <n v="-0.10000000000000009"/>
    <n v="11"/>
    <x v="1"/>
    <x v="1"/>
    <x v="15"/>
  </r>
  <r>
    <s v="STU-9742"/>
    <x v="6"/>
    <x v="2"/>
    <x v="0"/>
    <x v="0"/>
    <s v="Exam Prep"/>
    <n v="2.89"/>
    <n v="2.89"/>
    <n v="0"/>
    <n v="13"/>
    <x v="0"/>
    <x v="8"/>
    <x v="14"/>
  </r>
  <r>
    <s v="STU-8833"/>
    <x v="6"/>
    <x v="5"/>
    <x v="3"/>
    <x v="7"/>
    <s v="Literature Review"/>
    <n v="2.57"/>
    <n v="2.57"/>
    <n v="0"/>
    <n v="4"/>
    <x v="1"/>
    <x v="7"/>
    <x v="14"/>
  </r>
  <r>
    <s v="STU-9273"/>
    <x v="1"/>
    <x v="5"/>
    <x v="1"/>
    <x v="8"/>
    <s v="Literature Review"/>
    <n v="2.71"/>
    <n v="2.91"/>
    <n v="0.20000000000000018"/>
    <n v="6"/>
    <x v="0"/>
    <x v="8"/>
    <x v="9"/>
  </r>
  <r>
    <s v="STU-3445"/>
    <x v="1"/>
    <x v="5"/>
    <x v="1"/>
    <x v="4"/>
    <s v="Essay Drafting"/>
    <n v="2.96"/>
    <n v="2.96"/>
    <n v="0"/>
    <n v="2"/>
    <x v="1"/>
    <x v="5"/>
    <x v="7"/>
  </r>
  <r>
    <s v="STU-1230"/>
    <x v="2"/>
    <x v="3"/>
    <x v="3"/>
    <x v="7"/>
    <s v="Exam Prep"/>
    <n v="3.98"/>
    <n v="3.88"/>
    <n v="-0.10000000000000009"/>
    <n v="9"/>
    <x v="0"/>
    <x v="2"/>
    <x v="5"/>
  </r>
  <r>
    <s v="STU-5042"/>
    <x v="6"/>
    <x v="2"/>
    <x v="0"/>
    <x v="6"/>
    <s v="Brainstorming"/>
    <n v="3.88"/>
    <n v="4"/>
    <n v="0.12000000000000011"/>
    <n v="7"/>
    <x v="0"/>
    <x v="7"/>
    <x v="7"/>
  </r>
  <r>
    <s v="STU-6232"/>
    <x v="5"/>
    <x v="3"/>
    <x v="0"/>
    <x v="0"/>
    <s v="Essay Drafting"/>
    <n v="3.41"/>
    <n v="3.61"/>
    <n v="0.19999999999999973"/>
    <n v="2"/>
    <x v="2"/>
    <x v="2"/>
    <x v="9"/>
  </r>
  <r>
    <s v="STU-3855"/>
    <x v="6"/>
    <x v="1"/>
    <x v="4"/>
    <x v="3"/>
    <s v="Essay Drafting"/>
    <n v="3.74"/>
    <n v="4"/>
    <n v="0.25999999999999979"/>
    <n v="11"/>
    <x v="0"/>
    <x v="0"/>
    <x v="1"/>
  </r>
  <r>
    <s v="STU-9210"/>
    <x v="2"/>
    <x v="4"/>
    <x v="2"/>
    <x v="9"/>
    <s v="Code Debugging"/>
    <n v="3.9"/>
    <n v="4"/>
    <n v="0.10000000000000009"/>
    <n v="12"/>
    <x v="1"/>
    <x v="3"/>
    <x v="8"/>
  </r>
  <r>
    <s v="STU-6761"/>
    <x v="3"/>
    <x v="0"/>
    <x v="0"/>
    <x v="5"/>
    <s v="Brainstorming"/>
    <n v="2.61"/>
    <n v="2.81"/>
    <n v="0.20000000000000018"/>
    <n v="12"/>
    <x v="0"/>
    <x v="8"/>
    <x v="10"/>
  </r>
  <r>
    <s v="STU-5885"/>
    <x v="3"/>
    <x v="0"/>
    <x v="2"/>
    <x v="2"/>
    <s v="Brainstorming"/>
    <n v="3.28"/>
    <n v="3.48"/>
    <n v="0.20000000000000018"/>
    <n v="10"/>
    <x v="2"/>
    <x v="1"/>
    <x v="10"/>
  </r>
  <r>
    <s v="STU-6230"/>
    <x v="0"/>
    <x v="4"/>
    <x v="2"/>
    <x v="7"/>
    <s v="Code Debugging"/>
    <n v="3.59"/>
    <n v="3.79"/>
    <n v="0.20000000000000018"/>
    <n v="14"/>
    <x v="1"/>
    <x v="4"/>
    <x v="1"/>
  </r>
  <r>
    <s v="STU-8968"/>
    <x v="1"/>
    <x v="4"/>
    <x v="1"/>
    <x v="7"/>
    <s v="Essay Drafting"/>
    <n v="3.01"/>
    <n v="3.21"/>
    <n v="0.20000000000000018"/>
    <n v="9"/>
    <x v="1"/>
    <x v="3"/>
    <x v="12"/>
  </r>
  <r>
    <s v="STU-2674"/>
    <x v="5"/>
    <x v="0"/>
    <x v="3"/>
    <x v="6"/>
    <s v="Literature Review"/>
    <n v="2.99"/>
    <n v="2.99"/>
    <n v="0"/>
    <n v="5"/>
    <x v="1"/>
    <x v="8"/>
    <x v="5"/>
  </r>
  <r>
    <s v="STU-1954"/>
    <x v="1"/>
    <x v="1"/>
    <x v="0"/>
    <x v="0"/>
    <s v="Brainstorming"/>
    <n v="3.01"/>
    <n v="3.11"/>
    <n v="0.10000000000000009"/>
    <n v="12"/>
    <x v="0"/>
    <x v="1"/>
    <x v="4"/>
  </r>
  <r>
    <s v="STU-8338"/>
    <x v="1"/>
    <x v="2"/>
    <x v="1"/>
    <x v="4"/>
    <s v="Literature Review"/>
    <n v="2.66"/>
    <n v="2.66"/>
    <n v="0"/>
    <n v="9"/>
    <x v="2"/>
    <x v="3"/>
    <x v="5"/>
  </r>
  <r>
    <s v="STU-8259"/>
    <x v="5"/>
    <x v="4"/>
    <x v="2"/>
    <x v="2"/>
    <s v="Essay Drafting"/>
    <n v="3.63"/>
    <n v="3.83"/>
    <n v="0.20000000000000018"/>
    <n v="15"/>
    <x v="1"/>
    <x v="2"/>
    <x v="4"/>
  </r>
  <r>
    <s v="STU-8650"/>
    <x v="2"/>
    <x v="2"/>
    <x v="3"/>
    <x v="5"/>
    <s v="Literature Review"/>
    <n v="3.9"/>
    <n v="4"/>
    <n v="0.10000000000000009"/>
    <n v="6"/>
    <x v="1"/>
    <x v="2"/>
    <x v="3"/>
  </r>
  <r>
    <s v="STU-2518"/>
    <x v="6"/>
    <x v="0"/>
    <x v="4"/>
    <x v="4"/>
    <s v="Essay Drafting"/>
    <n v="3.69"/>
    <n v="3.89"/>
    <n v="0.20000000000000018"/>
    <n v="13"/>
    <x v="1"/>
    <x v="7"/>
    <x v="7"/>
  </r>
  <r>
    <s v="STU-0134"/>
    <x v="1"/>
    <x v="4"/>
    <x v="4"/>
    <x v="6"/>
    <s v="Exam Prep"/>
    <n v="3.55"/>
    <n v="3.75"/>
    <n v="0.20000000000000018"/>
    <n v="12"/>
    <x v="1"/>
    <x v="6"/>
    <x v="1"/>
  </r>
  <r>
    <s v="STU-6080"/>
    <x v="3"/>
    <x v="5"/>
    <x v="1"/>
    <x v="6"/>
    <s v="Brainstorming"/>
    <n v="2.95"/>
    <n v="2.95"/>
    <n v="0"/>
    <n v="8"/>
    <x v="0"/>
    <x v="5"/>
    <x v="0"/>
  </r>
  <r>
    <s v="STU-9587"/>
    <x v="5"/>
    <x v="3"/>
    <x v="3"/>
    <x v="2"/>
    <s v="Code Debugging"/>
    <n v="3.31"/>
    <n v="3.31"/>
    <n v="0"/>
    <n v="7"/>
    <x v="2"/>
    <x v="9"/>
    <x v="13"/>
  </r>
  <r>
    <s v="STU-7077"/>
    <x v="7"/>
    <x v="5"/>
    <x v="0"/>
    <x v="2"/>
    <s v="Brainstorming"/>
    <n v="3.42"/>
    <n v="3.62"/>
    <n v="0.20000000000000018"/>
    <n v="5"/>
    <x v="2"/>
    <x v="0"/>
    <x v="13"/>
  </r>
  <r>
    <s v="STU-4365"/>
    <x v="6"/>
    <x v="1"/>
    <x v="3"/>
    <x v="5"/>
    <s v="Code Debugging"/>
    <n v="3.32"/>
    <n v="3.62"/>
    <n v="0.30000000000000027"/>
    <n v="9"/>
    <x v="1"/>
    <x v="4"/>
    <x v="2"/>
  </r>
  <r>
    <s v="STU-9623"/>
    <x v="4"/>
    <x v="3"/>
    <x v="3"/>
    <x v="0"/>
    <s v="Essay Drafting"/>
    <n v="3.95"/>
    <n v="4"/>
    <n v="4.9999999999999822E-2"/>
    <n v="12"/>
    <x v="2"/>
    <x v="8"/>
    <x v="12"/>
  </r>
  <r>
    <s v="STU-2348"/>
    <x v="6"/>
    <x v="1"/>
    <x v="0"/>
    <x v="2"/>
    <s v="Exam Prep"/>
    <n v="3.12"/>
    <n v="3.02"/>
    <n v="-0.10000000000000009"/>
    <n v="13"/>
    <x v="1"/>
    <x v="5"/>
    <x v="2"/>
  </r>
  <r>
    <s v="STU-1920"/>
    <x v="6"/>
    <x v="2"/>
    <x v="1"/>
    <x v="2"/>
    <s v="Code Debugging"/>
    <n v="3.66"/>
    <n v="3.86"/>
    <n v="0.19999999999999973"/>
    <n v="15"/>
    <x v="1"/>
    <x v="8"/>
    <x v="8"/>
  </r>
  <r>
    <s v="STU-4012"/>
    <x v="6"/>
    <x v="4"/>
    <x v="1"/>
    <x v="0"/>
    <s v="Literature Review"/>
    <n v="3.01"/>
    <n v="3.01"/>
    <n v="0"/>
    <n v="4"/>
    <x v="1"/>
    <x v="8"/>
    <x v="8"/>
  </r>
  <r>
    <s v="STU-9721"/>
    <x v="2"/>
    <x v="4"/>
    <x v="3"/>
    <x v="4"/>
    <s v="Brainstorming"/>
    <n v="2.84"/>
    <n v="2.84"/>
    <n v="0"/>
    <n v="4"/>
    <x v="2"/>
    <x v="0"/>
    <x v="7"/>
  </r>
  <r>
    <s v="STU-8047"/>
    <x v="6"/>
    <x v="1"/>
    <x v="1"/>
    <x v="6"/>
    <s v="Essay Drafting"/>
    <n v="2.9"/>
    <n v="3.2"/>
    <n v="0.30000000000000027"/>
    <n v="4"/>
    <x v="1"/>
    <x v="3"/>
    <x v="8"/>
  </r>
  <r>
    <s v="STU-2524"/>
    <x v="0"/>
    <x v="5"/>
    <x v="2"/>
    <x v="3"/>
    <s v="Brainstorming"/>
    <n v="3.25"/>
    <n v="3.25"/>
    <n v="0"/>
    <n v="14"/>
    <x v="1"/>
    <x v="3"/>
    <x v="11"/>
  </r>
  <r>
    <s v="STU-1262"/>
    <x v="7"/>
    <x v="4"/>
    <x v="3"/>
    <x v="1"/>
    <s v="Essay Drafting"/>
    <n v="3.56"/>
    <n v="3.66"/>
    <n v="0.10000000000000009"/>
    <n v="15"/>
    <x v="2"/>
    <x v="6"/>
    <x v="0"/>
  </r>
  <r>
    <s v="STU-4912"/>
    <x v="4"/>
    <x v="0"/>
    <x v="0"/>
    <x v="9"/>
    <s v="Brainstorming"/>
    <n v="3.47"/>
    <n v="3.77"/>
    <n v="0.29999999999999982"/>
    <n v="12"/>
    <x v="0"/>
    <x v="0"/>
    <x v="12"/>
  </r>
  <r>
    <s v="STU-6287"/>
    <x v="7"/>
    <x v="5"/>
    <x v="3"/>
    <x v="8"/>
    <s v="Exam Prep"/>
    <n v="3.29"/>
    <n v="3.49"/>
    <n v="0.20000000000000018"/>
    <n v="7"/>
    <x v="1"/>
    <x v="3"/>
    <x v="6"/>
  </r>
  <r>
    <s v="STU-4659"/>
    <x v="0"/>
    <x v="0"/>
    <x v="3"/>
    <x v="0"/>
    <s v="Exam Prep"/>
    <n v="3.5"/>
    <n v="3.4"/>
    <n v="-0.10000000000000009"/>
    <n v="15"/>
    <x v="0"/>
    <x v="0"/>
    <x v="0"/>
  </r>
  <r>
    <s v="STU-1368"/>
    <x v="2"/>
    <x v="0"/>
    <x v="0"/>
    <x v="6"/>
    <s v="Essay Drafting"/>
    <n v="2.91"/>
    <n v="2.91"/>
    <n v="0"/>
    <n v="10"/>
    <x v="1"/>
    <x v="9"/>
    <x v="13"/>
  </r>
  <r>
    <s v="STU-5476"/>
    <x v="2"/>
    <x v="3"/>
    <x v="1"/>
    <x v="8"/>
    <s v="Code Debugging"/>
    <n v="3.67"/>
    <n v="3.77"/>
    <n v="0.10000000000000009"/>
    <n v="6"/>
    <x v="2"/>
    <x v="7"/>
    <x v="13"/>
  </r>
  <r>
    <s v="STU-3717"/>
    <x v="1"/>
    <x v="2"/>
    <x v="1"/>
    <x v="9"/>
    <s v="Essay Drafting"/>
    <n v="3.41"/>
    <n v="3.41"/>
    <n v="0"/>
    <n v="14"/>
    <x v="1"/>
    <x v="0"/>
    <x v="11"/>
  </r>
  <r>
    <s v="STU-9040"/>
    <x v="2"/>
    <x v="5"/>
    <x v="1"/>
    <x v="5"/>
    <s v="Essay Drafting"/>
    <n v="3.68"/>
    <n v="3.58"/>
    <n v="-0.10000000000000009"/>
    <n v="13"/>
    <x v="2"/>
    <x v="7"/>
    <x v="7"/>
  </r>
  <r>
    <s v="STU-1542"/>
    <x v="2"/>
    <x v="0"/>
    <x v="2"/>
    <x v="9"/>
    <s v="Exam Prep"/>
    <n v="3.3"/>
    <n v="3.2"/>
    <n v="-9.9999999999999645E-2"/>
    <n v="7"/>
    <x v="2"/>
    <x v="3"/>
    <x v="8"/>
  </r>
  <r>
    <s v="STU-6162"/>
    <x v="0"/>
    <x v="0"/>
    <x v="0"/>
    <x v="3"/>
    <s v="Essay Drafting"/>
    <n v="3.46"/>
    <n v="3.76"/>
    <n v="0.29999999999999982"/>
    <n v="15"/>
    <x v="2"/>
    <x v="9"/>
    <x v="6"/>
  </r>
  <r>
    <s v="STU-1087"/>
    <x v="6"/>
    <x v="0"/>
    <x v="3"/>
    <x v="6"/>
    <s v="Code Debugging"/>
    <n v="3.48"/>
    <n v="3.38"/>
    <n v="-0.10000000000000009"/>
    <n v="2"/>
    <x v="1"/>
    <x v="7"/>
    <x v="11"/>
  </r>
  <r>
    <s v="STU-7875"/>
    <x v="7"/>
    <x v="5"/>
    <x v="3"/>
    <x v="4"/>
    <s v="Exam Prep"/>
    <n v="3.21"/>
    <n v="3.51"/>
    <n v="0.29999999999999982"/>
    <n v="3"/>
    <x v="0"/>
    <x v="1"/>
    <x v="4"/>
  </r>
  <r>
    <s v="STU-4715"/>
    <x v="7"/>
    <x v="3"/>
    <x v="4"/>
    <x v="6"/>
    <s v="Essay Drafting"/>
    <n v="3.34"/>
    <n v="3.24"/>
    <n v="-9.9999999999999645E-2"/>
    <n v="6"/>
    <x v="2"/>
    <x v="1"/>
    <x v="14"/>
  </r>
  <r>
    <s v="STU-9830"/>
    <x v="0"/>
    <x v="1"/>
    <x v="3"/>
    <x v="9"/>
    <s v="Exam Prep"/>
    <n v="3.47"/>
    <n v="3.67"/>
    <n v="0.19999999999999973"/>
    <n v="5"/>
    <x v="0"/>
    <x v="4"/>
    <x v="2"/>
  </r>
  <r>
    <s v="STU-1896"/>
    <x v="0"/>
    <x v="5"/>
    <x v="4"/>
    <x v="9"/>
    <s v="Exam Prep"/>
    <n v="3.67"/>
    <n v="3.97"/>
    <n v="0.30000000000000027"/>
    <n v="3"/>
    <x v="0"/>
    <x v="7"/>
    <x v="6"/>
  </r>
  <r>
    <s v="STU-4341"/>
    <x v="6"/>
    <x v="3"/>
    <x v="3"/>
    <x v="7"/>
    <s v="Essay Drafting"/>
    <n v="3.39"/>
    <n v="3.29"/>
    <n v="-0.10000000000000009"/>
    <n v="15"/>
    <x v="0"/>
    <x v="1"/>
    <x v="4"/>
  </r>
  <r>
    <s v="STU-7965"/>
    <x v="0"/>
    <x v="3"/>
    <x v="4"/>
    <x v="9"/>
    <s v="Code Debugging"/>
    <n v="3.52"/>
    <n v="3.62"/>
    <n v="0.10000000000000009"/>
    <n v="4"/>
    <x v="1"/>
    <x v="7"/>
    <x v="2"/>
  </r>
  <r>
    <s v="STU-7468"/>
    <x v="0"/>
    <x v="1"/>
    <x v="2"/>
    <x v="3"/>
    <s v="Code Debugging"/>
    <n v="3.06"/>
    <n v="3.06"/>
    <n v="0"/>
    <n v="6"/>
    <x v="0"/>
    <x v="1"/>
    <x v="13"/>
  </r>
  <r>
    <s v="STU-7318"/>
    <x v="5"/>
    <x v="1"/>
    <x v="0"/>
    <x v="2"/>
    <s v="Brainstorming"/>
    <n v="2.6"/>
    <n v="2.6"/>
    <n v="0"/>
    <n v="11"/>
    <x v="1"/>
    <x v="9"/>
    <x v="15"/>
  </r>
  <r>
    <s v="STU-4044"/>
    <x v="4"/>
    <x v="5"/>
    <x v="3"/>
    <x v="8"/>
    <s v="Code Debugging"/>
    <n v="3.13"/>
    <n v="3.13"/>
    <n v="0"/>
    <n v="13"/>
    <x v="1"/>
    <x v="9"/>
    <x v="8"/>
  </r>
  <r>
    <s v="STU-2772"/>
    <x v="0"/>
    <x v="4"/>
    <x v="3"/>
    <x v="1"/>
    <s v="Exam Prep"/>
    <n v="3.26"/>
    <n v="3.16"/>
    <n v="-9.9999999999999645E-2"/>
    <n v="11"/>
    <x v="2"/>
    <x v="2"/>
    <x v="13"/>
  </r>
  <r>
    <s v="STU-6373"/>
    <x v="4"/>
    <x v="2"/>
    <x v="3"/>
    <x v="3"/>
    <s v="Exam Prep"/>
    <n v="3.95"/>
    <n v="4"/>
    <n v="4.9999999999999822E-2"/>
    <n v="4"/>
    <x v="2"/>
    <x v="7"/>
    <x v="12"/>
  </r>
  <r>
    <s v="STU-5460"/>
    <x v="0"/>
    <x v="1"/>
    <x v="3"/>
    <x v="0"/>
    <s v="Exam Prep"/>
    <n v="2.68"/>
    <n v="2.58"/>
    <n v="-0.10000000000000009"/>
    <n v="3"/>
    <x v="1"/>
    <x v="6"/>
    <x v="12"/>
  </r>
  <r>
    <s v="STU-3684"/>
    <x v="1"/>
    <x v="2"/>
    <x v="2"/>
    <x v="1"/>
    <s v="Code Debugging"/>
    <n v="3.89"/>
    <n v="3.79"/>
    <n v="-0.10000000000000009"/>
    <n v="4"/>
    <x v="0"/>
    <x v="3"/>
    <x v="12"/>
  </r>
  <r>
    <s v="STU-4331"/>
    <x v="3"/>
    <x v="3"/>
    <x v="1"/>
    <x v="3"/>
    <s v="Exam Prep"/>
    <n v="3.99"/>
    <n v="3.89"/>
    <n v="-0.10000000000000009"/>
    <n v="7"/>
    <x v="0"/>
    <x v="4"/>
    <x v="6"/>
  </r>
  <r>
    <s v="STU-6148"/>
    <x v="3"/>
    <x v="2"/>
    <x v="2"/>
    <x v="6"/>
    <s v="Brainstorming"/>
    <n v="3"/>
    <n v="3.1"/>
    <n v="0.10000000000000009"/>
    <n v="11"/>
    <x v="2"/>
    <x v="4"/>
    <x v="4"/>
  </r>
  <r>
    <s v="STU-9197"/>
    <x v="0"/>
    <x v="3"/>
    <x v="0"/>
    <x v="1"/>
    <s v="Exam Prep"/>
    <n v="3.44"/>
    <n v="3.54"/>
    <n v="0.10000000000000009"/>
    <n v="12"/>
    <x v="1"/>
    <x v="2"/>
    <x v="10"/>
  </r>
  <r>
    <s v="STU-5682"/>
    <x v="3"/>
    <x v="2"/>
    <x v="0"/>
    <x v="6"/>
    <s v="Exam Prep"/>
    <n v="2.72"/>
    <n v="2.62"/>
    <n v="-0.10000000000000009"/>
    <n v="2"/>
    <x v="1"/>
    <x v="4"/>
    <x v="13"/>
  </r>
  <r>
    <s v="STU-1496"/>
    <x v="3"/>
    <x v="1"/>
    <x v="3"/>
    <x v="4"/>
    <s v="Literature Review"/>
    <n v="2.62"/>
    <n v="2.62"/>
    <n v="0"/>
    <n v="4"/>
    <x v="0"/>
    <x v="6"/>
    <x v="4"/>
  </r>
  <r>
    <s v="STU-6383"/>
    <x v="1"/>
    <x v="1"/>
    <x v="2"/>
    <x v="7"/>
    <s v="Brainstorming"/>
    <n v="2.73"/>
    <n v="2.83"/>
    <n v="0.10000000000000009"/>
    <n v="12"/>
    <x v="2"/>
    <x v="1"/>
    <x v="6"/>
  </r>
  <r>
    <s v="STU-1750"/>
    <x v="7"/>
    <x v="2"/>
    <x v="0"/>
    <x v="0"/>
    <s v="Exam Prep"/>
    <n v="3.46"/>
    <n v="3.36"/>
    <n v="-0.10000000000000009"/>
    <n v="11"/>
    <x v="0"/>
    <x v="5"/>
    <x v="3"/>
  </r>
  <r>
    <s v="STU-5542"/>
    <x v="5"/>
    <x v="2"/>
    <x v="2"/>
    <x v="8"/>
    <s v="Brainstorming"/>
    <n v="3.23"/>
    <n v="3.23"/>
    <n v="0"/>
    <n v="8"/>
    <x v="0"/>
    <x v="7"/>
    <x v="8"/>
  </r>
  <r>
    <s v="STU-7336"/>
    <x v="1"/>
    <x v="5"/>
    <x v="1"/>
    <x v="6"/>
    <s v="Essay Drafting"/>
    <n v="3.77"/>
    <n v="3.87"/>
    <n v="0.10000000000000009"/>
    <n v="5"/>
    <x v="1"/>
    <x v="4"/>
    <x v="10"/>
  </r>
  <r>
    <s v="STU-4965"/>
    <x v="7"/>
    <x v="5"/>
    <x v="3"/>
    <x v="4"/>
    <s v="Brainstorming"/>
    <n v="3.84"/>
    <n v="3.84"/>
    <n v="0"/>
    <n v="15"/>
    <x v="2"/>
    <x v="8"/>
    <x v="12"/>
  </r>
  <r>
    <s v="STU-5931"/>
    <x v="7"/>
    <x v="3"/>
    <x v="3"/>
    <x v="4"/>
    <s v="Brainstorming"/>
    <n v="3.8"/>
    <n v="4"/>
    <n v="0.20000000000000018"/>
    <n v="3"/>
    <x v="0"/>
    <x v="8"/>
    <x v="4"/>
  </r>
  <r>
    <s v="STU-8009"/>
    <x v="4"/>
    <x v="1"/>
    <x v="3"/>
    <x v="6"/>
    <s v="Brainstorming"/>
    <n v="3.97"/>
    <n v="4"/>
    <n v="2.9999999999999805E-2"/>
    <n v="4"/>
    <x v="2"/>
    <x v="3"/>
    <x v="1"/>
  </r>
  <r>
    <s v="STU-7578"/>
    <x v="4"/>
    <x v="4"/>
    <x v="2"/>
    <x v="4"/>
    <s v="Essay Drafting"/>
    <n v="3.14"/>
    <n v="3.24"/>
    <n v="0.10000000000000009"/>
    <n v="9"/>
    <x v="1"/>
    <x v="4"/>
    <x v="4"/>
  </r>
  <r>
    <s v="STU-7844"/>
    <x v="7"/>
    <x v="4"/>
    <x v="4"/>
    <x v="5"/>
    <s v="Brainstorming"/>
    <n v="2.7"/>
    <n v="2.9"/>
    <n v="0.19999999999999973"/>
    <n v="2"/>
    <x v="2"/>
    <x v="3"/>
    <x v="7"/>
  </r>
  <r>
    <s v="STU-0196"/>
    <x v="0"/>
    <x v="0"/>
    <x v="1"/>
    <x v="7"/>
    <s v="Brainstorming"/>
    <n v="2.74"/>
    <n v="2.64"/>
    <n v="-0.10000000000000009"/>
    <n v="14"/>
    <x v="1"/>
    <x v="5"/>
    <x v="0"/>
  </r>
  <r>
    <s v="STU-3402"/>
    <x v="5"/>
    <x v="5"/>
    <x v="0"/>
    <x v="6"/>
    <s v="Exam Prep"/>
    <n v="3.06"/>
    <n v="3.36"/>
    <n v="0.29999999999999982"/>
    <n v="8"/>
    <x v="1"/>
    <x v="9"/>
    <x v="8"/>
  </r>
  <r>
    <s v="STU-9168"/>
    <x v="5"/>
    <x v="4"/>
    <x v="0"/>
    <x v="4"/>
    <s v="Exam Prep"/>
    <n v="3.4"/>
    <n v="3.5"/>
    <n v="0.10000000000000009"/>
    <n v="6"/>
    <x v="2"/>
    <x v="7"/>
    <x v="2"/>
  </r>
  <r>
    <s v="STU-0087"/>
    <x v="6"/>
    <x v="2"/>
    <x v="4"/>
    <x v="1"/>
    <s v="Exam Prep"/>
    <n v="2.57"/>
    <n v="2.4700000000000002"/>
    <n v="-9.9999999999999645E-2"/>
    <n v="13"/>
    <x v="1"/>
    <x v="9"/>
    <x v="0"/>
  </r>
  <r>
    <s v="STU-9997"/>
    <x v="3"/>
    <x v="4"/>
    <x v="2"/>
    <x v="3"/>
    <s v="Essay Drafting"/>
    <n v="3.69"/>
    <n v="3.89"/>
    <n v="0.20000000000000018"/>
    <n v="14"/>
    <x v="2"/>
    <x v="7"/>
    <x v="2"/>
  </r>
  <r>
    <s v="STU-3856"/>
    <x v="2"/>
    <x v="1"/>
    <x v="4"/>
    <x v="4"/>
    <s v="Code Debugging"/>
    <n v="3.39"/>
    <n v="3.59"/>
    <n v="0.19999999999999973"/>
    <n v="8"/>
    <x v="0"/>
    <x v="0"/>
    <x v="11"/>
  </r>
  <r>
    <s v="STU-8649"/>
    <x v="2"/>
    <x v="5"/>
    <x v="1"/>
    <x v="2"/>
    <s v="Brainstorming"/>
    <n v="3.36"/>
    <n v="3.46"/>
    <n v="0.10000000000000009"/>
    <n v="4"/>
    <x v="2"/>
    <x v="2"/>
    <x v="13"/>
  </r>
  <r>
    <s v="STU-0482"/>
    <x v="2"/>
    <x v="5"/>
    <x v="2"/>
    <x v="6"/>
    <s v="Code Debugging"/>
    <n v="3.79"/>
    <n v="3.79"/>
    <n v="0"/>
    <n v="7"/>
    <x v="2"/>
    <x v="7"/>
    <x v="9"/>
  </r>
  <r>
    <s v="STU-1777"/>
    <x v="4"/>
    <x v="3"/>
    <x v="4"/>
    <x v="5"/>
    <s v="Exam Prep"/>
    <n v="2.72"/>
    <n v="3.02"/>
    <n v="0.29999999999999982"/>
    <n v="7"/>
    <x v="0"/>
    <x v="9"/>
    <x v="1"/>
  </r>
  <r>
    <s v="STU-9359"/>
    <x v="5"/>
    <x v="1"/>
    <x v="2"/>
    <x v="5"/>
    <s v="Code Debugging"/>
    <n v="2.67"/>
    <n v="2.67"/>
    <n v="0"/>
    <n v="7"/>
    <x v="2"/>
    <x v="2"/>
    <x v="9"/>
  </r>
  <r>
    <s v="STU-3096"/>
    <x v="0"/>
    <x v="1"/>
    <x v="4"/>
    <x v="8"/>
    <s v="Brainstorming"/>
    <n v="2.64"/>
    <n v="2.84"/>
    <n v="0.19999999999999973"/>
    <n v="5"/>
    <x v="0"/>
    <x v="1"/>
    <x v="10"/>
  </r>
  <r>
    <s v="STU-2732"/>
    <x v="4"/>
    <x v="2"/>
    <x v="4"/>
    <x v="6"/>
    <s v="Essay Drafting"/>
    <n v="3.86"/>
    <n v="3.86"/>
    <n v="0"/>
    <n v="11"/>
    <x v="2"/>
    <x v="4"/>
    <x v="8"/>
  </r>
  <r>
    <s v="STU-7901"/>
    <x v="5"/>
    <x v="5"/>
    <x v="0"/>
    <x v="7"/>
    <s v="Code Debugging"/>
    <n v="3.38"/>
    <n v="3.48"/>
    <n v="0.10000000000000009"/>
    <n v="14"/>
    <x v="1"/>
    <x v="4"/>
    <x v="6"/>
  </r>
  <r>
    <s v="STU-9464"/>
    <x v="7"/>
    <x v="2"/>
    <x v="3"/>
    <x v="2"/>
    <s v="Literature Review"/>
    <n v="3.34"/>
    <n v="3.24"/>
    <n v="-9.9999999999999645E-2"/>
    <n v="11"/>
    <x v="1"/>
    <x v="3"/>
    <x v="3"/>
  </r>
  <r>
    <s v="STU-9776"/>
    <x v="7"/>
    <x v="0"/>
    <x v="3"/>
    <x v="3"/>
    <s v="Essay Drafting"/>
    <n v="3.81"/>
    <n v="4"/>
    <n v="0.18999999999999995"/>
    <n v="13"/>
    <x v="2"/>
    <x v="5"/>
    <x v="13"/>
  </r>
  <r>
    <s v="STU-8502"/>
    <x v="5"/>
    <x v="2"/>
    <x v="0"/>
    <x v="3"/>
    <s v="Exam Prep"/>
    <n v="3.81"/>
    <n v="3.91"/>
    <n v="0.10000000000000009"/>
    <n v="13"/>
    <x v="1"/>
    <x v="1"/>
    <x v="0"/>
  </r>
  <r>
    <s v="STU-4713"/>
    <x v="3"/>
    <x v="4"/>
    <x v="1"/>
    <x v="8"/>
    <s v="Code Debugging"/>
    <n v="3.3"/>
    <n v="3.3"/>
    <n v="0"/>
    <n v="3"/>
    <x v="0"/>
    <x v="0"/>
    <x v="3"/>
  </r>
  <r>
    <s v="STU-6280"/>
    <x v="7"/>
    <x v="3"/>
    <x v="1"/>
    <x v="2"/>
    <s v="Brainstorming"/>
    <n v="3.39"/>
    <n v="3.69"/>
    <n v="0.29999999999999982"/>
    <n v="9"/>
    <x v="2"/>
    <x v="9"/>
    <x v="1"/>
  </r>
  <r>
    <s v="STU-7699"/>
    <x v="1"/>
    <x v="1"/>
    <x v="2"/>
    <x v="4"/>
    <s v="Literature Review"/>
    <n v="3.16"/>
    <n v="3.36"/>
    <n v="0.19999999999999973"/>
    <n v="3"/>
    <x v="2"/>
    <x v="5"/>
    <x v="12"/>
  </r>
  <r>
    <s v="STU-1704"/>
    <x v="5"/>
    <x v="3"/>
    <x v="3"/>
    <x v="0"/>
    <s v="Literature Review"/>
    <n v="3.74"/>
    <n v="3.84"/>
    <n v="9.9999999999999645E-2"/>
    <n v="2"/>
    <x v="2"/>
    <x v="2"/>
    <x v="4"/>
  </r>
  <r>
    <s v="STU-6617"/>
    <x v="6"/>
    <x v="5"/>
    <x v="4"/>
    <x v="8"/>
    <s v="Exam Prep"/>
    <n v="3.96"/>
    <n v="3.86"/>
    <n v="-0.10000000000000009"/>
    <n v="9"/>
    <x v="1"/>
    <x v="4"/>
    <x v="11"/>
  </r>
  <r>
    <s v="STU-7718"/>
    <x v="4"/>
    <x v="0"/>
    <x v="0"/>
    <x v="5"/>
    <s v="Brainstorming"/>
    <n v="2.8"/>
    <n v="3.1"/>
    <n v="0.30000000000000027"/>
    <n v="4"/>
    <x v="0"/>
    <x v="3"/>
    <x v="12"/>
  </r>
  <r>
    <s v="STU-1294"/>
    <x v="6"/>
    <x v="1"/>
    <x v="3"/>
    <x v="1"/>
    <s v="Essay Drafting"/>
    <n v="3.62"/>
    <n v="3.82"/>
    <n v="0.19999999999999973"/>
    <n v="5"/>
    <x v="1"/>
    <x v="8"/>
    <x v="4"/>
  </r>
  <r>
    <s v="STU-0633"/>
    <x v="4"/>
    <x v="2"/>
    <x v="2"/>
    <x v="4"/>
    <s v="Literature Review"/>
    <n v="3.09"/>
    <n v="2.99"/>
    <n v="-9.9999999999999645E-2"/>
    <n v="2"/>
    <x v="0"/>
    <x v="2"/>
    <x v="11"/>
  </r>
  <r>
    <s v="STU-7118"/>
    <x v="3"/>
    <x v="5"/>
    <x v="0"/>
    <x v="7"/>
    <s v="Literature Review"/>
    <n v="2.77"/>
    <n v="2.67"/>
    <n v="-0.10000000000000009"/>
    <n v="10"/>
    <x v="2"/>
    <x v="4"/>
    <x v="6"/>
  </r>
  <r>
    <s v="STU-5038"/>
    <x v="2"/>
    <x v="0"/>
    <x v="2"/>
    <x v="8"/>
    <s v="Exam Prep"/>
    <n v="2.88"/>
    <n v="3.08"/>
    <n v="0.20000000000000018"/>
    <n v="9"/>
    <x v="0"/>
    <x v="2"/>
    <x v="0"/>
  </r>
  <r>
    <s v="STU-4664"/>
    <x v="5"/>
    <x v="3"/>
    <x v="4"/>
    <x v="1"/>
    <s v="Essay Drafting"/>
    <n v="3.77"/>
    <n v="3.97"/>
    <n v="0.20000000000000018"/>
    <n v="3"/>
    <x v="1"/>
    <x v="9"/>
    <x v="6"/>
  </r>
  <r>
    <s v="STU-1516"/>
    <x v="4"/>
    <x v="3"/>
    <x v="3"/>
    <x v="7"/>
    <s v="Literature Review"/>
    <n v="2.52"/>
    <n v="2.82"/>
    <n v="0.29999999999999982"/>
    <n v="6"/>
    <x v="2"/>
    <x v="0"/>
    <x v="0"/>
  </r>
  <r>
    <s v="STU-6126"/>
    <x v="5"/>
    <x v="3"/>
    <x v="2"/>
    <x v="6"/>
    <s v="Essay Drafting"/>
    <n v="3.45"/>
    <n v="3.75"/>
    <n v="0.29999999999999982"/>
    <n v="7"/>
    <x v="2"/>
    <x v="5"/>
    <x v="0"/>
  </r>
  <r>
    <s v="STU-9105"/>
    <x v="5"/>
    <x v="1"/>
    <x v="3"/>
    <x v="5"/>
    <s v="Code Debugging"/>
    <n v="3.87"/>
    <n v="3.77"/>
    <n v="-0.10000000000000009"/>
    <n v="2"/>
    <x v="1"/>
    <x v="4"/>
    <x v="10"/>
  </r>
  <r>
    <s v="STU-4063"/>
    <x v="2"/>
    <x v="4"/>
    <x v="2"/>
    <x v="3"/>
    <s v="Essay Drafting"/>
    <n v="3.13"/>
    <n v="3.23"/>
    <n v="0.10000000000000009"/>
    <n v="2"/>
    <x v="1"/>
    <x v="5"/>
    <x v="8"/>
  </r>
  <r>
    <s v="STU-8107"/>
    <x v="3"/>
    <x v="1"/>
    <x v="4"/>
    <x v="7"/>
    <s v="Literature Review"/>
    <n v="3.16"/>
    <n v="3.06"/>
    <n v="-0.10000000000000009"/>
    <n v="12"/>
    <x v="0"/>
    <x v="4"/>
    <x v="13"/>
  </r>
  <r>
    <s v="STU-2686"/>
    <x v="3"/>
    <x v="1"/>
    <x v="3"/>
    <x v="6"/>
    <s v="Literature Review"/>
    <n v="3.77"/>
    <n v="3.87"/>
    <n v="0.10000000000000009"/>
    <n v="6"/>
    <x v="2"/>
    <x v="3"/>
    <x v="13"/>
  </r>
  <r>
    <s v="STU-5434"/>
    <x v="4"/>
    <x v="0"/>
    <x v="4"/>
    <x v="6"/>
    <s v="Brainstorming"/>
    <n v="3.02"/>
    <n v="3.12"/>
    <n v="0.10000000000000009"/>
    <n v="12"/>
    <x v="2"/>
    <x v="6"/>
    <x v="3"/>
  </r>
  <r>
    <s v="STU-4099"/>
    <x v="6"/>
    <x v="5"/>
    <x v="1"/>
    <x v="2"/>
    <s v="Literature Review"/>
    <n v="3.9"/>
    <n v="4"/>
    <n v="0.10000000000000009"/>
    <n v="13"/>
    <x v="0"/>
    <x v="7"/>
    <x v="10"/>
  </r>
  <r>
    <s v="STU-9323"/>
    <x v="0"/>
    <x v="4"/>
    <x v="3"/>
    <x v="3"/>
    <s v="Literature Review"/>
    <n v="3.51"/>
    <n v="3.71"/>
    <n v="0.20000000000000018"/>
    <n v="5"/>
    <x v="1"/>
    <x v="1"/>
    <x v="1"/>
  </r>
  <r>
    <s v="STU-1636"/>
    <x v="7"/>
    <x v="2"/>
    <x v="2"/>
    <x v="5"/>
    <s v="Literature Review"/>
    <n v="3.81"/>
    <n v="3.91"/>
    <n v="0.10000000000000009"/>
    <n v="14"/>
    <x v="0"/>
    <x v="0"/>
    <x v="7"/>
  </r>
  <r>
    <s v="STU-0581"/>
    <x v="1"/>
    <x v="1"/>
    <x v="2"/>
    <x v="1"/>
    <s v="Brainstorming"/>
    <n v="2.74"/>
    <n v="2.64"/>
    <n v="-0.10000000000000009"/>
    <n v="11"/>
    <x v="0"/>
    <x v="9"/>
    <x v="15"/>
  </r>
  <r>
    <s v="STU-9034"/>
    <x v="7"/>
    <x v="0"/>
    <x v="4"/>
    <x v="8"/>
    <s v="Exam Prep"/>
    <n v="3.66"/>
    <n v="3.86"/>
    <n v="0.19999999999999973"/>
    <n v="3"/>
    <x v="2"/>
    <x v="3"/>
    <x v="13"/>
  </r>
  <r>
    <s v="STU-6732"/>
    <x v="0"/>
    <x v="3"/>
    <x v="0"/>
    <x v="1"/>
    <s v="Exam Prep"/>
    <n v="3.8"/>
    <n v="3.7"/>
    <n v="-9.9999999999999645E-2"/>
    <n v="13"/>
    <x v="1"/>
    <x v="1"/>
    <x v="1"/>
  </r>
  <r>
    <s v="STU-5918"/>
    <x v="6"/>
    <x v="3"/>
    <x v="2"/>
    <x v="8"/>
    <s v="Essay Drafting"/>
    <n v="3.35"/>
    <n v="3.65"/>
    <n v="0.29999999999999982"/>
    <n v="3"/>
    <x v="1"/>
    <x v="4"/>
    <x v="6"/>
  </r>
  <r>
    <s v="STU-0463"/>
    <x v="3"/>
    <x v="1"/>
    <x v="2"/>
    <x v="8"/>
    <s v="Essay Drafting"/>
    <n v="2.91"/>
    <n v="2.81"/>
    <n v="-0.10000000000000009"/>
    <n v="12"/>
    <x v="0"/>
    <x v="0"/>
    <x v="15"/>
  </r>
  <r>
    <s v="STU-7712"/>
    <x v="2"/>
    <x v="1"/>
    <x v="1"/>
    <x v="3"/>
    <s v="Code Debugging"/>
    <n v="3.8"/>
    <n v="3.7"/>
    <n v="-9.9999999999999645E-2"/>
    <n v="5"/>
    <x v="2"/>
    <x v="3"/>
    <x v="8"/>
  </r>
  <r>
    <s v="STU-4473"/>
    <x v="0"/>
    <x v="0"/>
    <x v="1"/>
    <x v="3"/>
    <s v="Exam Prep"/>
    <n v="2.74"/>
    <n v="3.04"/>
    <n v="0.29999999999999982"/>
    <n v="14"/>
    <x v="1"/>
    <x v="5"/>
    <x v="3"/>
  </r>
  <r>
    <s v="STU-6203"/>
    <x v="3"/>
    <x v="0"/>
    <x v="0"/>
    <x v="9"/>
    <s v="Literature Review"/>
    <n v="3.86"/>
    <n v="3.86"/>
    <n v="0"/>
    <n v="8"/>
    <x v="1"/>
    <x v="3"/>
    <x v="11"/>
  </r>
  <r>
    <s v="STU-1759"/>
    <x v="0"/>
    <x v="4"/>
    <x v="2"/>
    <x v="9"/>
    <s v="Essay Drafting"/>
    <n v="3.34"/>
    <n v="3.54"/>
    <n v="0.20000000000000018"/>
    <n v="13"/>
    <x v="0"/>
    <x v="3"/>
    <x v="12"/>
  </r>
  <r>
    <s v="STU-6770"/>
    <x v="4"/>
    <x v="4"/>
    <x v="4"/>
    <x v="2"/>
    <s v="Exam Prep"/>
    <n v="3.31"/>
    <n v="3.61"/>
    <n v="0.29999999999999982"/>
    <n v="8"/>
    <x v="2"/>
    <x v="0"/>
    <x v="7"/>
  </r>
  <r>
    <s v="STU-1573"/>
    <x v="0"/>
    <x v="1"/>
    <x v="4"/>
    <x v="1"/>
    <s v="Exam Prep"/>
    <n v="3.09"/>
    <n v="3.39"/>
    <n v="0.30000000000000027"/>
    <n v="10"/>
    <x v="2"/>
    <x v="4"/>
    <x v="13"/>
  </r>
  <r>
    <s v="STU-4608"/>
    <x v="5"/>
    <x v="3"/>
    <x v="1"/>
    <x v="9"/>
    <s v="Exam Prep"/>
    <n v="3.5"/>
    <n v="3.8"/>
    <n v="0.29999999999999982"/>
    <n v="4"/>
    <x v="2"/>
    <x v="4"/>
    <x v="0"/>
  </r>
  <r>
    <s v="STU-3934"/>
    <x v="1"/>
    <x v="0"/>
    <x v="2"/>
    <x v="2"/>
    <s v="Code Debugging"/>
    <n v="3.15"/>
    <n v="3.25"/>
    <n v="0.10000000000000009"/>
    <n v="12"/>
    <x v="0"/>
    <x v="1"/>
    <x v="9"/>
  </r>
  <r>
    <s v="STU-3875"/>
    <x v="5"/>
    <x v="3"/>
    <x v="1"/>
    <x v="9"/>
    <s v="Exam Prep"/>
    <n v="3.64"/>
    <n v="3.64"/>
    <n v="0"/>
    <n v="4"/>
    <x v="1"/>
    <x v="1"/>
    <x v="3"/>
  </r>
  <r>
    <s v="STU-8673"/>
    <x v="2"/>
    <x v="1"/>
    <x v="0"/>
    <x v="0"/>
    <s v="Brainstorming"/>
    <n v="3.15"/>
    <n v="3.45"/>
    <n v="0.30000000000000027"/>
    <n v="7"/>
    <x v="1"/>
    <x v="5"/>
    <x v="0"/>
  </r>
  <r>
    <s v="STU-2987"/>
    <x v="2"/>
    <x v="5"/>
    <x v="4"/>
    <x v="8"/>
    <s v="Essay Drafting"/>
    <n v="3.11"/>
    <n v="3.21"/>
    <n v="0.10000000000000009"/>
    <n v="9"/>
    <x v="2"/>
    <x v="3"/>
    <x v="0"/>
  </r>
  <r>
    <s v="STU-3636"/>
    <x v="4"/>
    <x v="5"/>
    <x v="2"/>
    <x v="8"/>
    <s v="Exam Prep"/>
    <n v="2.81"/>
    <n v="3.01"/>
    <n v="0.19999999999999973"/>
    <n v="4"/>
    <x v="1"/>
    <x v="4"/>
    <x v="2"/>
  </r>
  <r>
    <s v="STU-7610"/>
    <x v="5"/>
    <x v="3"/>
    <x v="0"/>
    <x v="4"/>
    <s v="Literature Review"/>
    <n v="3.58"/>
    <n v="3.68"/>
    <n v="0.10000000000000009"/>
    <n v="10"/>
    <x v="0"/>
    <x v="3"/>
    <x v="7"/>
  </r>
  <r>
    <s v="STU-9032"/>
    <x v="0"/>
    <x v="5"/>
    <x v="1"/>
    <x v="5"/>
    <s v="Code Debugging"/>
    <n v="2.94"/>
    <n v="3.24"/>
    <n v="0.30000000000000027"/>
    <n v="3"/>
    <x v="1"/>
    <x v="1"/>
    <x v="12"/>
  </r>
  <r>
    <s v="STU-9229"/>
    <x v="4"/>
    <x v="3"/>
    <x v="0"/>
    <x v="8"/>
    <s v="Brainstorming"/>
    <n v="3.74"/>
    <n v="3.94"/>
    <n v="0.19999999999999973"/>
    <n v="5"/>
    <x v="1"/>
    <x v="0"/>
    <x v="13"/>
  </r>
  <r>
    <s v="STU-4294"/>
    <x v="3"/>
    <x v="2"/>
    <x v="1"/>
    <x v="0"/>
    <s v="Brainstorming"/>
    <n v="3.06"/>
    <n v="3.16"/>
    <n v="0.10000000000000009"/>
    <n v="14"/>
    <x v="0"/>
    <x v="6"/>
    <x v="10"/>
  </r>
  <r>
    <s v="STU-2760"/>
    <x v="5"/>
    <x v="2"/>
    <x v="3"/>
    <x v="2"/>
    <s v="Exam Prep"/>
    <n v="3.61"/>
    <n v="3.91"/>
    <n v="0.30000000000000027"/>
    <n v="8"/>
    <x v="2"/>
    <x v="9"/>
    <x v="3"/>
  </r>
  <r>
    <s v="STU-2834"/>
    <x v="2"/>
    <x v="4"/>
    <x v="2"/>
    <x v="9"/>
    <s v="Exam Prep"/>
    <n v="3.33"/>
    <n v="3.53"/>
    <n v="0.19999999999999973"/>
    <n v="5"/>
    <x v="1"/>
    <x v="6"/>
    <x v="11"/>
  </r>
  <r>
    <s v="STU-7609"/>
    <x v="7"/>
    <x v="2"/>
    <x v="0"/>
    <x v="6"/>
    <s v="Essay Drafting"/>
    <n v="3.62"/>
    <n v="3.72"/>
    <n v="0.10000000000000009"/>
    <n v="8"/>
    <x v="2"/>
    <x v="6"/>
    <x v="11"/>
  </r>
  <r>
    <s v="STU-6482"/>
    <x v="1"/>
    <x v="5"/>
    <x v="4"/>
    <x v="6"/>
    <s v="Essay Drafting"/>
    <n v="3.79"/>
    <n v="3.79"/>
    <n v="0"/>
    <n v="4"/>
    <x v="1"/>
    <x v="0"/>
    <x v="12"/>
  </r>
  <r>
    <s v="STU-3193"/>
    <x v="0"/>
    <x v="0"/>
    <x v="0"/>
    <x v="7"/>
    <s v="Exam Prep"/>
    <n v="2.78"/>
    <n v="2.78"/>
    <n v="0"/>
    <n v="12"/>
    <x v="0"/>
    <x v="4"/>
    <x v="4"/>
  </r>
  <r>
    <s v="STU-2743"/>
    <x v="2"/>
    <x v="3"/>
    <x v="1"/>
    <x v="9"/>
    <s v="Essay Drafting"/>
    <n v="3.97"/>
    <n v="4"/>
    <n v="2.9999999999999805E-2"/>
    <n v="12"/>
    <x v="0"/>
    <x v="6"/>
    <x v="4"/>
  </r>
  <r>
    <s v="STU-7966"/>
    <x v="0"/>
    <x v="5"/>
    <x v="3"/>
    <x v="9"/>
    <s v="Exam Prep"/>
    <n v="2.81"/>
    <n v="3.11"/>
    <n v="0.29999999999999982"/>
    <n v="4"/>
    <x v="1"/>
    <x v="3"/>
    <x v="5"/>
  </r>
  <r>
    <s v="STU-6979"/>
    <x v="3"/>
    <x v="2"/>
    <x v="3"/>
    <x v="6"/>
    <s v="Code Debugging"/>
    <n v="3.14"/>
    <n v="3.04"/>
    <n v="-0.10000000000000009"/>
    <n v="10"/>
    <x v="0"/>
    <x v="0"/>
    <x v="1"/>
  </r>
  <r>
    <s v="STU-3335"/>
    <x v="1"/>
    <x v="1"/>
    <x v="1"/>
    <x v="4"/>
    <s v="Code Debugging"/>
    <n v="2.58"/>
    <n v="2.88"/>
    <n v="0.29999999999999982"/>
    <n v="7"/>
    <x v="2"/>
    <x v="1"/>
    <x v="13"/>
  </r>
  <r>
    <s v="STU-3973"/>
    <x v="5"/>
    <x v="3"/>
    <x v="2"/>
    <x v="4"/>
    <s v="Code Debugging"/>
    <n v="2.5099999999999998"/>
    <n v="2.81"/>
    <n v="0.30000000000000027"/>
    <n v="11"/>
    <x v="2"/>
    <x v="3"/>
    <x v="6"/>
  </r>
  <r>
    <s v="STU-8336"/>
    <x v="3"/>
    <x v="0"/>
    <x v="0"/>
    <x v="5"/>
    <s v="Exam Prep"/>
    <n v="3.35"/>
    <n v="3.55"/>
    <n v="0.19999999999999973"/>
    <n v="2"/>
    <x v="0"/>
    <x v="2"/>
    <x v="13"/>
  </r>
  <r>
    <s v="STU-0782"/>
    <x v="6"/>
    <x v="2"/>
    <x v="1"/>
    <x v="8"/>
    <s v="Essay Drafting"/>
    <n v="2.91"/>
    <n v="3.11"/>
    <n v="0.19999999999999973"/>
    <n v="11"/>
    <x v="1"/>
    <x v="3"/>
    <x v="0"/>
  </r>
  <r>
    <s v="STU-9020"/>
    <x v="4"/>
    <x v="2"/>
    <x v="0"/>
    <x v="2"/>
    <s v="Essay Drafting"/>
    <n v="4"/>
    <n v="4"/>
    <n v="0"/>
    <n v="14"/>
    <x v="0"/>
    <x v="0"/>
    <x v="2"/>
  </r>
  <r>
    <s v="STU-7571"/>
    <x v="3"/>
    <x v="4"/>
    <x v="1"/>
    <x v="2"/>
    <s v="Code Debugging"/>
    <n v="2.99"/>
    <n v="2.89"/>
    <n v="-0.10000000000000009"/>
    <n v="2"/>
    <x v="0"/>
    <x v="1"/>
    <x v="2"/>
  </r>
  <r>
    <s v="STU-2580"/>
    <x v="1"/>
    <x v="0"/>
    <x v="3"/>
    <x v="5"/>
    <s v="Essay Drafting"/>
    <n v="2.75"/>
    <n v="2.65"/>
    <n v="-0.10000000000000009"/>
    <n v="7"/>
    <x v="1"/>
    <x v="9"/>
    <x v="8"/>
  </r>
  <r>
    <s v="STU-1448"/>
    <x v="6"/>
    <x v="4"/>
    <x v="2"/>
    <x v="8"/>
    <s v="Literature Review"/>
    <n v="3.2"/>
    <n v="3.4"/>
    <n v="0.19999999999999973"/>
    <n v="14"/>
    <x v="1"/>
    <x v="2"/>
    <x v="4"/>
  </r>
  <r>
    <s v="STU-4025"/>
    <x v="2"/>
    <x v="3"/>
    <x v="0"/>
    <x v="1"/>
    <s v="Essay Drafting"/>
    <n v="2.65"/>
    <n v="2.75"/>
    <n v="0.10000000000000009"/>
    <n v="11"/>
    <x v="1"/>
    <x v="1"/>
    <x v="15"/>
  </r>
  <r>
    <s v="STU-3489"/>
    <x v="0"/>
    <x v="2"/>
    <x v="1"/>
    <x v="9"/>
    <s v="Brainstorming"/>
    <n v="3.9"/>
    <n v="4"/>
    <n v="0.10000000000000009"/>
    <n v="3"/>
    <x v="0"/>
    <x v="1"/>
    <x v="15"/>
  </r>
  <r>
    <s v="STU-6246"/>
    <x v="5"/>
    <x v="2"/>
    <x v="3"/>
    <x v="5"/>
    <s v="Brainstorming"/>
    <n v="3.8"/>
    <n v="4"/>
    <n v="0.20000000000000018"/>
    <n v="7"/>
    <x v="1"/>
    <x v="3"/>
    <x v="7"/>
  </r>
  <r>
    <s v="STU-6224"/>
    <x v="1"/>
    <x v="4"/>
    <x v="2"/>
    <x v="4"/>
    <s v="Brainstorming"/>
    <n v="2.69"/>
    <n v="2.79"/>
    <n v="0.10000000000000009"/>
    <n v="15"/>
    <x v="1"/>
    <x v="1"/>
    <x v="12"/>
  </r>
  <r>
    <s v="STU-4488"/>
    <x v="4"/>
    <x v="1"/>
    <x v="3"/>
    <x v="3"/>
    <s v="Code Debugging"/>
    <n v="3.78"/>
    <n v="3.98"/>
    <n v="0.20000000000000018"/>
    <n v="12"/>
    <x v="0"/>
    <x v="3"/>
    <x v="10"/>
  </r>
  <r>
    <s v="STU-1895"/>
    <x v="0"/>
    <x v="0"/>
    <x v="0"/>
    <x v="6"/>
    <s v="Literature Review"/>
    <n v="2.62"/>
    <n v="2.72"/>
    <n v="0.10000000000000009"/>
    <n v="14"/>
    <x v="0"/>
    <x v="7"/>
    <x v="14"/>
  </r>
  <r>
    <s v="STU-2071"/>
    <x v="6"/>
    <x v="1"/>
    <x v="4"/>
    <x v="8"/>
    <s v="Code Debugging"/>
    <n v="3.23"/>
    <n v="3.23"/>
    <n v="0"/>
    <n v="3"/>
    <x v="1"/>
    <x v="4"/>
    <x v="8"/>
  </r>
  <r>
    <s v="STU-2897"/>
    <x v="4"/>
    <x v="4"/>
    <x v="4"/>
    <x v="2"/>
    <s v="Brainstorming"/>
    <n v="2.61"/>
    <n v="2.91"/>
    <n v="0.30000000000000027"/>
    <n v="13"/>
    <x v="0"/>
    <x v="3"/>
    <x v="8"/>
  </r>
  <r>
    <s v="STU-2549"/>
    <x v="3"/>
    <x v="3"/>
    <x v="2"/>
    <x v="8"/>
    <s v="Essay Drafting"/>
    <n v="3.12"/>
    <n v="3.12"/>
    <n v="0"/>
    <n v="12"/>
    <x v="2"/>
    <x v="2"/>
    <x v="11"/>
  </r>
  <r>
    <s v="STU-1453"/>
    <x v="2"/>
    <x v="2"/>
    <x v="0"/>
    <x v="8"/>
    <s v="Brainstorming"/>
    <n v="3.29"/>
    <n v="3.29"/>
    <n v="0"/>
    <n v="12"/>
    <x v="1"/>
    <x v="3"/>
    <x v="5"/>
  </r>
  <r>
    <s v="STU-1635"/>
    <x v="0"/>
    <x v="4"/>
    <x v="0"/>
    <x v="6"/>
    <s v="Brainstorming"/>
    <n v="3.6"/>
    <n v="3.9"/>
    <n v="0.29999999999999982"/>
    <n v="3"/>
    <x v="0"/>
    <x v="2"/>
    <x v="15"/>
  </r>
  <r>
    <s v="STU-1956"/>
    <x v="0"/>
    <x v="4"/>
    <x v="1"/>
    <x v="9"/>
    <s v="Code Debugging"/>
    <n v="3.42"/>
    <n v="3.62"/>
    <n v="0.20000000000000018"/>
    <n v="6"/>
    <x v="2"/>
    <x v="1"/>
    <x v="7"/>
  </r>
  <r>
    <s v="STU-6474"/>
    <x v="3"/>
    <x v="2"/>
    <x v="1"/>
    <x v="0"/>
    <s v="Exam Prep"/>
    <n v="2.61"/>
    <n v="2.5099999999999998"/>
    <n v="-0.10000000000000009"/>
    <n v="8"/>
    <x v="2"/>
    <x v="6"/>
    <x v="9"/>
  </r>
  <r>
    <s v="STU-9724"/>
    <x v="2"/>
    <x v="4"/>
    <x v="4"/>
    <x v="6"/>
    <s v="Code Debugging"/>
    <n v="3.37"/>
    <n v="3.67"/>
    <n v="0.29999999999999982"/>
    <n v="4"/>
    <x v="2"/>
    <x v="9"/>
    <x v="2"/>
  </r>
  <r>
    <s v="STU-6681"/>
    <x v="2"/>
    <x v="5"/>
    <x v="2"/>
    <x v="2"/>
    <s v="Essay Drafting"/>
    <n v="3.44"/>
    <n v="3.74"/>
    <n v="0.30000000000000027"/>
    <n v="9"/>
    <x v="2"/>
    <x v="5"/>
    <x v="12"/>
  </r>
  <r>
    <s v="STU-6737"/>
    <x v="0"/>
    <x v="5"/>
    <x v="2"/>
    <x v="5"/>
    <s v="Exam Prep"/>
    <n v="2.82"/>
    <n v="2.92"/>
    <n v="0.10000000000000009"/>
    <n v="15"/>
    <x v="2"/>
    <x v="0"/>
    <x v="3"/>
  </r>
  <r>
    <s v="STU-1279"/>
    <x v="1"/>
    <x v="5"/>
    <x v="1"/>
    <x v="6"/>
    <s v="Exam Prep"/>
    <n v="3.63"/>
    <n v="3.63"/>
    <n v="0"/>
    <n v="5"/>
    <x v="2"/>
    <x v="9"/>
    <x v="7"/>
  </r>
  <r>
    <s v="STU-5051"/>
    <x v="0"/>
    <x v="5"/>
    <x v="2"/>
    <x v="2"/>
    <s v="Code Debugging"/>
    <n v="3.57"/>
    <n v="3.47"/>
    <n v="-9.9999999999999645E-2"/>
    <n v="11"/>
    <x v="0"/>
    <x v="4"/>
    <x v="10"/>
  </r>
  <r>
    <s v="STU-5999"/>
    <x v="1"/>
    <x v="4"/>
    <x v="2"/>
    <x v="4"/>
    <s v="Exam Prep"/>
    <n v="3.82"/>
    <n v="3.92"/>
    <n v="0.10000000000000009"/>
    <n v="5"/>
    <x v="0"/>
    <x v="0"/>
    <x v="10"/>
  </r>
  <r>
    <s v="STU-2823"/>
    <x v="7"/>
    <x v="0"/>
    <x v="1"/>
    <x v="9"/>
    <s v="Literature Review"/>
    <n v="2.84"/>
    <n v="3.14"/>
    <n v="0.30000000000000027"/>
    <n v="12"/>
    <x v="2"/>
    <x v="6"/>
    <x v="7"/>
  </r>
  <r>
    <s v="STU-3694"/>
    <x v="7"/>
    <x v="0"/>
    <x v="1"/>
    <x v="9"/>
    <s v="Code Debugging"/>
    <n v="3.19"/>
    <n v="3.49"/>
    <n v="0.30000000000000027"/>
    <n v="8"/>
    <x v="1"/>
    <x v="9"/>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s v="STU-6019"/>
    <n v="23"/>
    <s v="Software Engineering"/>
    <x v="0"/>
    <n v="1"/>
    <s v="Code Debugging"/>
    <n v="2.62"/>
    <n v="2.62"/>
    <n v="0"/>
    <n v="9"/>
    <x v="0"/>
    <n v="3"/>
    <s v="Karnataka"/>
    <s v="Adult"/>
  </r>
  <r>
    <s v="STU-6962"/>
    <n v="22"/>
    <s v="Modern History"/>
    <x v="1"/>
    <n v="3"/>
    <s v="Essay Drafting"/>
    <n v="3.99"/>
    <n v="4"/>
    <n v="9.9999999999997868E-3"/>
    <n v="7"/>
    <x v="0"/>
    <n v="4"/>
    <s v="Haryana"/>
    <s v="Young Adult"/>
  </r>
  <r>
    <s v="STU-2338"/>
    <n v="18"/>
    <s v="Data Science"/>
    <x v="2"/>
    <n v="2"/>
    <s v="Literature Review"/>
    <n v="2.57"/>
    <n v="2.57"/>
    <n v="0"/>
    <n v="15"/>
    <x v="1"/>
    <n v="7"/>
    <s v="Rajasthan"/>
    <s v="Teen"/>
  </r>
  <r>
    <s v="STU-1380"/>
    <n v="19"/>
    <s v="Biology"/>
    <x v="3"/>
    <n v="5"/>
    <s v="Essay Drafting"/>
    <n v="2.67"/>
    <n v="2.87"/>
    <n v="0.20000000000000018"/>
    <n v="12"/>
    <x v="2"/>
    <n v="5"/>
    <s v="Haryana"/>
    <s v="Teen"/>
  </r>
  <r>
    <s v="STU-1837"/>
    <n v="19"/>
    <s v="Biology"/>
    <x v="4"/>
    <n v="10"/>
    <s v="Code Debugging"/>
    <n v="3.65"/>
    <n v="3.85"/>
    <n v="0.20000000000000018"/>
    <n v="5"/>
    <x v="1"/>
    <n v="9"/>
    <s v="Odisha"/>
    <s v="Teen"/>
  </r>
  <r>
    <s v="STU-0052"/>
    <n v="19"/>
    <s v="Software Engineering"/>
    <x v="4"/>
    <n v="4"/>
    <s v="Essay Drafting"/>
    <n v="3.21"/>
    <n v="3.41"/>
    <n v="0.20000000000000018"/>
    <n v="8"/>
    <x v="0"/>
    <n v="4"/>
    <s v="Andhra Pradesh"/>
    <s v="Teen"/>
  </r>
  <r>
    <s v="STU-4953"/>
    <n v="19"/>
    <s v="Business Administration"/>
    <x v="1"/>
    <n v="1"/>
    <s v="Exam Prep"/>
    <n v="3.87"/>
    <n v="3.97"/>
    <n v="0.10000000000000009"/>
    <n v="7"/>
    <x v="2"/>
    <n v="1"/>
    <s v="Karnataka"/>
    <s v="Teen"/>
  </r>
  <r>
    <s v="STU-1723"/>
    <n v="20"/>
    <s v="Fine Arts"/>
    <x v="2"/>
    <n v="3"/>
    <s v="Exam Prep"/>
    <n v="3.18"/>
    <n v="3.08"/>
    <n v="-0.10000000000000009"/>
    <n v="2"/>
    <x v="0"/>
    <n v="9"/>
    <s v="Delhi"/>
    <s v="Young Adult"/>
  </r>
  <r>
    <s v="STU-5100"/>
    <n v="20"/>
    <s v="Fine Arts"/>
    <x v="4"/>
    <n v="1"/>
    <s v="Literature Review"/>
    <n v="3.25"/>
    <n v="3.35"/>
    <n v="0.10000000000000009"/>
    <n v="13"/>
    <x v="0"/>
    <n v="8"/>
    <s v="Uttar Pradesh"/>
    <s v="Young Adult"/>
  </r>
  <r>
    <s v="STU-7291"/>
    <n v="19"/>
    <s v="Fine Arts"/>
    <x v="1"/>
    <n v="5"/>
    <s v="Exam Prep"/>
    <n v="3.43"/>
    <n v="3.33"/>
    <n v="-0.10000000000000009"/>
    <n v="10"/>
    <x v="0"/>
    <n v="3"/>
    <s v="Haryana"/>
    <s v="Teen"/>
  </r>
  <r>
    <s v="STU-9918"/>
    <n v="20"/>
    <s v="Fine Arts"/>
    <x v="1"/>
    <n v="2"/>
    <s v="Essay Drafting"/>
    <n v="3.32"/>
    <n v="3.42"/>
    <n v="0.10000000000000009"/>
    <n v="8"/>
    <x v="1"/>
    <n v="4"/>
    <s v="Punjab"/>
    <s v="Young Adult"/>
  </r>
  <r>
    <s v="STU-1753"/>
    <n v="24"/>
    <s v="Software Engineering"/>
    <x v="3"/>
    <n v="4"/>
    <s v="Essay Drafting"/>
    <n v="2.93"/>
    <n v="3.23"/>
    <n v="0.29999999999999982"/>
    <n v="6"/>
    <x v="2"/>
    <n v="10"/>
    <s v="Madhya Pradesh"/>
    <s v="Adult"/>
  </r>
  <r>
    <s v="STU-6394"/>
    <n v="23"/>
    <s v="Modern History"/>
    <x v="4"/>
    <n v="1"/>
    <s v="Code Debugging"/>
    <n v="3.55"/>
    <n v="3.75"/>
    <n v="0.20000000000000018"/>
    <n v="6"/>
    <x v="2"/>
    <n v="4"/>
    <s v="Kerala"/>
    <s v="Adult"/>
  </r>
  <r>
    <s v="STU-1374"/>
    <n v="18"/>
    <s v="Biology"/>
    <x v="1"/>
    <n v="5"/>
    <s v="Essay Drafting"/>
    <n v="3.9"/>
    <n v="4"/>
    <n v="0.10000000000000009"/>
    <n v="14"/>
    <x v="2"/>
    <n v="3"/>
    <s v="Kerala"/>
    <s v="Teen"/>
  </r>
  <r>
    <s v="STU-1277"/>
    <n v="18"/>
    <s v="Fine Arts"/>
    <x v="3"/>
    <n v="4"/>
    <s v="Exam Prep"/>
    <n v="3.88"/>
    <n v="3.88"/>
    <n v="0"/>
    <n v="5"/>
    <x v="2"/>
    <n v="5"/>
    <s v="Odisha"/>
    <s v="Teen"/>
  </r>
  <r>
    <s v="STU-5643"/>
    <n v="23"/>
    <s v="Data Science"/>
    <x v="1"/>
    <n v="4"/>
    <s v="Brainstorming"/>
    <n v="3.99"/>
    <n v="4"/>
    <n v="9.9999999999997868E-3"/>
    <n v="15"/>
    <x v="1"/>
    <n v="9"/>
    <s v="Haryana"/>
    <s v="Adult"/>
  </r>
  <r>
    <s v="STU-3711"/>
    <n v="21"/>
    <s v="Modern History"/>
    <x v="4"/>
    <n v="4"/>
    <s v="Code Debugging"/>
    <n v="3.32"/>
    <n v="3.32"/>
    <n v="0"/>
    <n v="5"/>
    <x v="2"/>
    <n v="9"/>
    <s v="Madhya Pradesh"/>
    <s v="Young Adult"/>
  </r>
  <r>
    <s v="STU-9571"/>
    <n v="20"/>
    <s v="Business Administration"/>
    <x v="2"/>
    <n v="5"/>
    <s v="Code Debugging"/>
    <n v="2.66"/>
    <n v="2.76"/>
    <n v="9.9999999999999645E-2"/>
    <n v="13"/>
    <x v="1"/>
    <n v="5"/>
    <s v="Karnataka"/>
    <s v="Young Adult"/>
  </r>
  <r>
    <s v="STU-6603"/>
    <n v="23"/>
    <s v="Biology"/>
    <x v="1"/>
    <n v="10"/>
    <s v="Code Debugging"/>
    <n v="3.14"/>
    <n v="3.14"/>
    <n v="0"/>
    <n v="2"/>
    <x v="1"/>
    <n v="10"/>
    <s v="Tamil Nadu"/>
    <s v="Adult"/>
  </r>
  <r>
    <s v="STU-4838"/>
    <n v="19"/>
    <s v="Biology"/>
    <x v="1"/>
    <n v="1"/>
    <s v="Essay Drafting"/>
    <n v="3.54"/>
    <n v="3.64"/>
    <n v="0.10000000000000009"/>
    <n v="6"/>
    <x v="1"/>
    <n v="3"/>
    <s v="Haryana"/>
    <s v="Teen"/>
  </r>
  <r>
    <s v="STU-4860"/>
    <n v="21"/>
    <s v="Software Engineering"/>
    <x v="1"/>
    <n v="5"/>
    <s v="Brainstorming"/>
    <n v="2.56"/>
    <n v="2.46"/>
    <n v="-0.10000000000000009"/>
    <n v="3"/>
    <x v="1"/>
    <n v="1"/>
    <s v="Odisha"/>
    <s v="Young Adult"/>
  </r>
  <r>
    <s v="STU-0499"/>
    <n v="19"/>
    <s v="Biology"/>
    <x v="0"/>
    <n v="10"/>
    <s v="Brainstorming"/>
    <n v="3.03"/>
    <n v="3.03"/>
    <n v="0"/>
    <n v="2"/>
    <x v="2"/>
    <n v="5"/>
    <s v="Bihar"/>
    <s v="Teen"/>
  </r>
  <r>
    <s v="STU-4002"/>
    <n v="22"/>
    <s v="Software Engineering"/>
    <x v="4"/>
    <n v="3"/>
    <s v="Code Debugging"/>
    <n v="3.45"/>
    <n v="3.65"/>
    <n v="0.19999999999999973"/>
    <n v="7"/>
    <x v="1"/>
    <n v="8"/>
    <s v="Telangana"/>
    <s v="Young Adult"/>
  </r>
  <r>
    <s v="STU-5578"/>
    <n v="21"/>
    <s v="Biology"/>
    <x v="1"/>
    <n v="4"/>
    <s v="Brainstorming"/>
    <n v="3.04"/>
    <n v="3.24"/>
    <n v="0.20000000000000018"/>
    <n v="10"/>
    <x v="0"/>
    <n v="2"/>
    <s v="Haryana"/>
    <s v="Young Adult"/>
  </r>
  <r>
    <s v="STU-9514"/>
    <n v="23"/>
    <s v="Business Administration"/>
    <x v="0"/>
    <n v="2"/>
    <s v="Brainstorming"/>
    <n v="2.99"/>
    <n v="3.19"/>
    <n v="0.19999999999999973"/>
    <n v="13"/>
    <x v="2"/>
    <n v="7"/>
    <s v="Telangana"/>
    <s v="Adult"/>
  </r>
  <r>
    <s v="STU-8919"/>
    <n v="23"/>
    <s v="Modern History"/>
    <x v="3"/>
    <n v="3"/>
    <s v="Brainstorming"/>
    <n v="3.28"/>
    <n v="3.18"/>
    <n v="-9.9999999999999645E-2"/>
    <n v="4"/>
    <x v="0"/>
    <n v="5"/>
    <s v="Punjab"/>
    <s v="Adult"/>
  </r>
  <r>
    <s v="STU-0115"/>
    <n v="22"/>
    <s v="Business Administration"/>
    <x v="3"/>
    <n v="5"/>
    <s v="Essay Drafting"/>
    <n v="2.79"/>
    <n v="2.89"/>
    <n v="0.10000000000000009"/>
    <n v="5"/>
    <x v="0"/>
    <n v="1"/>
    <s v="Odisha"/>
    <s v="Young Adult"/>
  </r>
  <r>
    <s v="STU-5610"/>
    <n v="22"/>
    <s v="Data Science"/>
    <x v="1"/>
    <n v="3"/>
    <s v="Code Debugging"/>
    <n v="3.41"/>
    <n v="3.31"/>
    <n v="-0.10000000000000009"/>
    <n v="2"/>
    <x v="2"/>
    <n v="5"/>
    <s v="Madhya Pradesh"/>
    <s v="Young Adult"/>
  </r>
  <r>
    <s v="STU-1960"/>
    <n v="20"/>
    <s v="Fine Arts"/>
    <x v="1"/>
    <n v="1"/>
    <s v="Exam Prep"/>
    <n v="3.67"/>
    <n v="3.67"/>
    <n v="0"/>
    <n v="11"/>
    <x v="1"/>
    <n v="2"/>
    <s v="Andhra Pradesh"/>
    <s v="Young Adult"/>
  </r>
  <r>
    <s v="STU-1431"/>
    <n v="23"/>
    <s v="Modern History"/>
    <x v="0"/>
    <n v="8"/>
    <s v="Literature Review"/>
    <n v="2.76"/>
    <n v="2.66"/>
    <n v="-9.9999999999999645E-2"/>
    <n v="14"/>
    <x v="1"/>
    <n v="4"/>
    <s v="Gujarat"/>
    <s v="Adult"/>
  </r>
  <r>
    <s v="STU-6178"/>
    <n v="24"/>
    <s v="Biology"/>
    <x v="0"/>
    <n v="4"/>
    <s v="Code Debugging"/>
    <n v="3.08"/>
    <n v="3.18"/>
    <n v="0.10000000000000009"/>
    <n v="4"/>
    <x v="2"/>
    <n v="8"/>
    <s v="Odisha"/>
    <s v="Adult"/>
  </r>
  <r>
    <s v="STU-5367"/>
    <n v="18"/>
    <s v="Business Administration"/>
    <x v="4"/>
    <n v="1"/>
    <s v="Brainstorming"/>
    <n v="3.57"/>
    <n v="3.67"/>
    <n v="0.10000000000000009"/>
    <n v="3"/>
    <x v="1"/>
    <n v="4"/>
    <s v="Delhi"/>
    <s v="Teen"/>
  </r>
  <r>
    <s v="STU-2322"/>
    <n v="20"/>
    <s v="Business Administration"/>
    <x v="3"/>
    <n v="10"/>
    <s v="Brainstorming"/>
    <n v="2.9"/>
    <n v="3.1"/>
    <n v="0.20000000000000018"/>
    <n v="13"/>
    <x v="2"/>
    <n v="6"/>
    <s v="Andhra Pradesh"/>
    <s v="Young Adult"/>
  </r>
  <r>
    <s v="STU-8378"/>
    <n v="21"/>
    <s v="Biology"/>
    <x v="0"/>
    <n v="3"/>
    <s v="Literature Review"/>
    <n v="3.47"/>
    <n v="3.47"/>
    <n v="0"/>
    <n v="12"/>
    <x v="0"/>
    <n v="8"/>
    <s v="Kerala"/>
    <s v="Young Adult"/>
  </r>
  <r>
    <s v="STU-4921"/>
    <n v="23"/>
    <s v="Data Science"/>
    <x v="0"/>
    <n v="3"/>
    <s v="Code Debugging"/>
    <n v="3.04"/>
    <n v="3.24"/>
    <n v="0.20000000000000018"/>
    <n v="9"/>
    <x v="2"/>
    <n v="9"/>
    <s v="Tamil Nadu"/>
    <s v="Adult"/>
  </r>
  <r>
    <s v="STU-1914"/>
    <n v="22"/>
    <s v="Business Administration"/>
    <x v="3"/>
    <n v="4"/>
    <s v="Code Debugging"/>
    <n v="3.27"/>
    <n v="3.17"/>
    <n v="-0.10000000000000009"/>
    <n v="11"/>
    <x v="1"/>
    <n v="7"/>
    <s v="Haryana"/>
    <s v="Young Adult"/>
  </r>
  <r>
    <s v="STU-5032"/>
    <n v="21"/>
    <s v="Software Engineering"/>
    <x v="3"/>
    <n v="9"/>
    <s v="Brainstorming"/>
    <n v="2.56"/>
    <n v="2.86"/>
    <n v="0.29999999999999982"/>
    <n v="15"/>
    <x v="0"/>
    <n v="4"/>
    <s v="Kerala"/>
    <s v="Young Adult"/>
  </r>
  <r>
    <s v="STU-6816"/>
    <n v="24"/>
    <s v="Biology"/>
    <x v="1"/>
    <n v="6"/>
    <s v="Essay Drafting"/>
    <n v="2.89"/>
    <n v="3.19"/>
    <n v="0.29999999999999982"/>
    <n v="11"/>
    <x v="2"/>
    <n v="1"/>
    <s v="Telangana"/>
    <s v="Adult"/>
  </r>
  <r>
    <s v="STU-3832"/>
    <n v="22"/>
    <s v="Biology"/>
    <x v="1"/>
    <n v="8"/>
    <s v="Code Debugging"/>
    <n v="3.82"/>
    <n v="3.72"/>
    <n v="-9.9999999999999645E-2"/>
    <n v="11"/>
    <x v="0"/>
    <n v="9"/>
    <s v="Gujarat"/>
    <s v="Young Adult"/>
  </r>
  <r>
    <s v="STU-1539"/>
    <n v="23"/>
    <s v="Business Administration"/>
    <x v="0"/>
    <n v="4"/>
    <s v="Brainstorming"/>
    <n v="3.99"/>
    <n v="4"/>
    <n v="9.9999999999997868E-3"/>
    <n v="2"/>
    <x v="2"/>
    <n v="3"/>
    <s v="Uttar Pradesh"/>
    <s v="Adult"/>
  </r>
  <r>
    <s v="STU-4811"/>
    <n v="22"/>
    <s v="Fine Arts"/>
    <x v="3"/>
    <n v="3"/>
    <s v="Code Debugging"/>
    <n v="3.46"/>
    <n v="3.76"/>
    <n v="0.29999999999999982"/>
    <n v="3"/>
    <x v="0"/>
    <n v="8"/>
    <s v="Punjab"/>
    <s v="Young Adult"/>
  </r>
  <r>
    <s v="STU-1992"/>
    <n v="20"/>
    <s v="Fine Arts"/>
    <x v="1"/>
    <n v="5"/>
    <s v="Essay Drafting"/>
    <n v="2.89"/>
    <n v="2.79"/>
    <n v="-0.10000000000000009"/>
    <n v="7"/>
    <x v="1"/>
    <n v="7"/>
    <s v="West Bengal"/>
    <s v="Young Adult"/>
  </r>
  <r>
    <s v="STU-5235"/>
    <n v="20"/>
    <s v="Business Administration"/>
    <x v="1"/>
    <n v="7"/>
    <s v="Code Debugging"/>
    <n v="2.99"/>
    <n v="3.19"/>
    <n v="0.19999999999999973"/>
    <n v="3"/>
    <x v="2"/>
    <n v="3"/>
    <s v="Rajasthan"/>
    <s v="Young Adult"/>
  </r>
  <r>
    <s v="STU-7720"/>
    <n v="21"/>
    <s v="Biology"/>
    <x v="1"/>
    <n v="10"/>
    <s v="Literature Review"/>
    <n v="2.84"/>
    <n v="2.84"/>
    <n v="0"/>
    <n v="5"/>
    <x v="2"/>
    <n v="4"/>
    <s v="Delhi"/>
    <s v="Young Adult"/>
  </r>
  <r>
    <s v="STU-8242"/>
    <n v="23"/>
    <s v="Business Administration"/>
    <x v="0"/>
    <n v="8"/>
    <s v="Exam Prep"/>
    <n v="2.77"/>
    <n v="2.67"/>
    <n v="-0.10000000000000009"/>
    <n v="12"/>
    <x v="2"/>
    <n v="2"/>
    <s v="Gujarat"/>
    <s v="Adult"/>
  </r>
  <r>
    <s v="STU-6491"/>
    <n v="25"/>
    <s v="Business Administration"/>
    <x v="4"/>
    <n v="6"/>
    <s v="Essay Drafting"/>
    <n v="2.88"/>
    <n v="2.98"/>
    <n v="0.10000000000000009"/>
    <n v="6"/>
    <x v="2"/>
    <n v="8"/>
    <s v="Uttar Pradesh"/>
    <s v="Adult"/>
  </r>
  <r>
    <s v="STU-9757"/>
    <n v="23"/>
    <s v="Software Engineering"/>
    <x v="0"/>
    <n v="2"/>
    <s v="Exam Prep"/>
    <n v="3.5"/>
    <n v="3.4"/>
    <n v="-0.10000000000000009"/>
    <n v="4"/>
    <x v="1"/>
    <n v="7"/>
    <s v="West Bengal"/>
    <s v="Adult"/>
  </r>
  <r>
    <s v="STU-6891"/>
    <n v="22"/>
    <s v="Business Administration"/>
    <x v="2"/>
    <n v="7"/>
    <s v="Brainstorming"/>
    <n v="3.92"/>
    <n v="4"/>
    <n v="8.0000000000000071E-2"/>
    <n v="14"/>
    <x v="1"/>
    <n v="1"/>
    <s v="Tamil Nadu"/>
    <s v="Young Adult"/>
  </r>
  <r>
    <s v="STU-2000"/>
    <n v="25"/>
    <s v="Fine Arts"/>
    <x v="2"/>
    <n v="5"/>
    <s v="Exam Prep"/>
    <n v="3.82"/>
    <n v="4"/>
    <n v="0.18000000000000016"/>
    <n v="5"/>
    <x v="1"/>
    <n v="5"/>
    <s v="Karnataka"/>
    <s v="Adult"/>
  </r>
  <r>
    <s v="STU-1936"/>
    <n v="20"/>
    <s v="Software Engineering"/>
    <x v="2"/>
    <n v="2"/>
    <s v="Essay Drafting"/>
    <n v="3.58"/>
    <n v="3.68"/>
    <n v="0.10000000000000009"/>
    <n v="12"/>
    <x v="0"/>
    <n v="5"/>
    <s v="Andhra Pradesh"/>
    <s v="Young Adult"/>
  </r>
  <r>
    <s v="STU-0497"/>
    <n v="20"/>
    <s v="Modern History"/>
    <x v="2"/>
    <n v="6"/>
    <s v="Literature Review"/>
    <n v="3.87"/>
    <n v="3.77"/>
    <n v="-0.10000000000000009"/>
    <n v="4"/>
    <x v="2"/>
    <n v="1"/>
    <s v="Telangana"/>
    <s v="Young Adult"/>
  </r>
  <r>
    <s v="STU-4779"/>
    <n v="22"/>
    <s v="Biology"/>
    <x v="2"/>
    <n v="2"/>
    <s v="Literature Review"/>
    <n v="3.96"/>
    <n v="3.96"/>
    <n v="0"/>
    <n v="12"/>
    <x v="0"/>
    <n v="10"/>
    <s v="West Bengal"/>
    <s v="Young Adult"/>
  </r>
  <r>
    <s v="STU-5245"/>
    <n v="20"/>
    <s v="Software Engineering"/>
    <x v="0"/>
    <n v="1"/>
    <s v="Brainstorming"/>
    <n v="3.51"/>
    <n v="3.81"/>
    <n v="0.30000000000000027"/>
    <n v="12"/>
    <x v="2"/>
    <n v="2"/>
    <s v="Gujarat"/>
    <s v="Young Adult"/>
  </r>
  <r>
    <s v="STU-1346"/>
    <n v="19"/>
    <s v="Data Science"/>
    <x v="2"/>
    <n v="5"/>
    <s v="Essay Drafting"/>
    <n v="3.55"/>
    <n v="3.85"/>
    <n v="0.30000000000000027"/>
    <n v="5"/>
    <x v="1"/>
    <n v="6"/>
    <s v="Maharashtra"/>
    <s v="Teen"/>
  </r>
  <r>
    <s v="STU-6672"/>
    <n v="21"/>
    <s v="Business Administration"/>
    <x v="2"/>
    <n v="2"/>
    <s v="Brainstorming"/>
    <n v="2.64"/>
    <n v="2.94"/>
    <n v="0.29999999999999982"/>
    <n v="11"/>
    <x v="1"/>
    <n v="10"/>
    <s v="Bihar"/>
    <s v="Young Adult"/>
  </r>
  <r>
    <s v="STU-0732"/>
    <n v="21"/>
    <s v="Biology"/>
    <x v="1"/>
    <n v="5"/>
    <s v="Literature Review"/>
    <n v="3.17"/>
    <n v="3.27"/>
    <n v="0.10000000000000009"/>
    <n v="7"/>
    <x v="2"/>
    <n v="5"/>
    <s v="Maharashtra"/>
    <s v="Young Adult"/>
  </r>
  <r>
    <s v="STU-9888"/>
    <n v="19"/>
    <s v="Software Engineering"/>
    <x v="1"/>
    <n v="2"/>
    <s v="Literature Review"/>
    <n v="2.5"/>
    <n v="2.6"/>
    <n v="0.10000000000000009"/>
    <n v="3"/>
    <x v="2"/>
    <n v="6"/>
    <s v="Madhya Pradesh"/>
    <s v="Teen"/>
  </r>
  <r>
    <s v="STU-1040"/>
    <n v="22"/>
    <s v="Fine Arts"/>
    <x v="1"/>
    <n v="4"/>
    <s v="Literature Review"/>
    <n v="2.81"/>
    <n v="3.11"/>
    <n v="0.29999999999999982"/>
    <n v="13"/>
    <x v="2"/>
    <n v="3"/>
    <s v="Bihar"/>
    <s v="Young Adult"/>
  </r>
  <r>
    <s v="STU-1540"/>
    <n v="23"/>
    <s v="Data Science"/>
    <x v="1"/>
    <n v="1"/>
    <s v="Exam Prep"/>
    <n v="3.93"/>
    <n v="4"/>
    <n v="6.999999999999984E-2"/>
    <n v="6"/>
    <x v="2"/>
    <n v="9"/>
    <s v="Tamil Nadu"/>
    <s v="Adult"/>
  </r>
  <r>
    <s v="STU-5873"/>
    <n v="18"/>
    <s v="Data Science"/>
    <x v="1"/>
    <n v="6"/>
    <s v="Brainstorming"/>
    <n v="2.61"/>
    <n v="2.5099999999999998"/>
    <n v="-0.10000000000000009"/>
    <n v="15"/>
    <x v="1"/>
    <n v="6"/>
    <s v="Telangana"/>
    <s v="Teen"/>
  </r>
  <r>
    <s v="STU-4321"/>
    <n v="18"/>
    <s v="Data Science"/>
    <x v="0"/>
    <n v="8"/>
    <s v="Brainstorming"/>
    <n v="3.89"/>
    <n v="4"/>
    <n v="0.10999999999999988"/>
    <n v="11"/>
    <x v="0"/>
    <n v="2"/>
    <s v="Karnataka"/>
    <s v="Teen"/>
  </r>
  <r>
    <s v="STU-9472"/>
    <n v="20"/>
    <s v="Biology"/>
    <x v="2"/>
    <n v="7"/>
    <s v="Code Debugging"/>
    <n v="2.98"/>
    <n v="2.88"/>
    <n v="-0.10000000000000009"/>
    <n v="7"/>
    <x v="2"/>
    <n v="9"/>
    <s v="Rajasthan"/>
    <s v="Young Adult"/>
  </r>
  <r>
    <s v="STU-5793"/>
    <n v="24"/>
    <s v="Fine Arts"/>
    <x v="2"/>
    <n v="2"/>
    <s v="Code Debugging"/>
    <n v="3.93"/>
    <n v="3.83"/>
    <n v="-0.10000000000000009"/>
    <n v="4"/>
    <x v="1"/>
    <n v="10"/>
    <s v="Rajasthan"/>
    <s v="Adult"/>
  </r>
  <r>
    <s v="STU-7017"/>
    <n v="24"/>
    <s v="Modern History"/>
    <x v="2"/>
    <n v="6"/>
    <s v="Essay Drafting"/>
    <n v="2.78"/>
    <n v="2.98"/>
    <n v="0.20000000000000018"/>
    <n v="11"/>
    <x v="2"/>
    <n v="5"/>
    <s v="West Bengal"/>
    <s v="Adult"/>
  </r>
  <r>
    <s v="STU-3405"/>
    <n v="25"/>
    <s v="Modern History"/>
    <x v="1"/>
    <n v="4"/>
    <s v="Essay Drafting"/>
    <n v="3.5"/>
    <n v="3.4"/>
    <n v="-0.10000000000000009"/>
    <n v="9"/>
    <x v="0"/>
    <n v="1"/>
    <s v="Tamil Nadu"/>
    <s v="Adult"/>
  </r>
  <r>
    <s v="STU-6036"/>
    <n v="24"/>
    <s v="Software Engineering"/>
    <x v="4"/>
    <n v="5"/>
    <s v="Essay Drafting"/>
    <n v="3.31"/>
    <n v="3.41"/>
    <n v="0.10000000000000009"/>
    <n v="12"/>
    <x v="0"/>
    <n v="10"/>
    <s v="Gujarat"/>
    <s v="Adult"/>
  </r>
  <r>
    <s v="STU-0449"/>
    <n v="21"/>
    <s v="Business Administration"/>
    <x v="0"/>
    <n v="3"/>
    <s v="Code Debugging"/>
    <n v="2.73"/>
    <n v="2.73"/>
    <n v="0"/>
    <n v="12"/>
    <x v="2"/>
    <n v="6"/>
    <s v="West Bengal"/>
    <s v="Young Adult"/>
  </r>
  <r>
    <s v="STU-8756"/>
    <n v="18"/>
    <s v="Business Administration"/>
    <x v="1"/>
    <n v="7"/>
    <s v="Literature Review"/>
    <n v="3.12"/>
    <n v="3.42"/>
    <n v="0.29999999999999982"/>
    <n v="12"/>
    <x v="1"/>
    <n v="2"/>
    <s v="Punjab"/>
    <s v="Teen"/>
  </r>
  <r>
    <s v="STU-7976"/>
    <n v="21"/>
    <s v="Data Science"/>
    <x v="4"/>
    <n v="6"/>
    <s v="Exam Prep"/>
    <n v="3.83"/>
    <n v="4"/>
    <n v="0.16999999999999993"/>
    <n v="9"/>
    <x v="2"/>
    <n v="8"/>
    <s v="Odisha"/>
    <s v="Young Adult"/>
  </r>
  <r>
    <s v="STU-3826"/>
    <n v="20"/>
    <s v="Data Science"/>
    <x v="3"/>
    <n v="8"/>
    <s v="Code Debugging"/>
    <n v="2.88"/>
    <n v="3.18"/>
    <n v="0.30000000000000027"/>
    <n v="15"/>
    <x v="0"/>
    <n v="9"/>
    <s v="Bihar"/>
    <s v="Young Adult"/>
  </r>
  <r>
    <s v="STU-2035"/>
    <n v="25"/>
    <s v="Biology"/>
    <x v="4"/>
    <n v="3"/>
    <s v="Literature Review"/>
    <n v="3.15"/>
    <n v="3.35"/>
    <n v="0.20000000000000018"/>
    <n v="11"/>
    <x v="1"/>
    <n v="1"/>
    <s v="Telangana"/>
    <s v="Adult"/>
  </r>
  <r>
    <s v="STU-2123"/>
    <n v="25"/>
    <s v="Biology"/>
    <x v="2"/>
    <n v="2"/>
    <s v="Brainstorming"/>
    <n v="3.61"/>
    <n v="3.71"/>
    <n v="0.10000000000000009"/>
    <n v="11"/>
    <x v="1"/>
    <n v="10"/>
    <s v="Delhi"/>
    <s v="Adult"/>
  </r>
  <r>
    <s v="STU-7860"/>
    <n v="20"/>
    <s v="Biology"/>
    <x v="3"/>
    <n v="2"/>
    <s v="Exam Prep"/>
    <n v="3.28"/>
    <n v="3.58"/>
    <n v="0.30000000000000027"/>
    <n v="9"/>
    <x v="1"/>
    <n v="8"/>
    <s v="Delhi"/>
    <s v="Young Adult"/>
  </r>
  <r>
    <s v="STU-0300"/>
    <n v="24"/>
    <s v="Modern History"/>
    <x v="4"/>
    <n v="7"/>
    <s v="Brainstorming"/>
    <n v="3.89"/>
    <n v="3.79"/>
    <n v="-0.10000000000000009"/>
    <n v="6"/>
    <x v="2"/>
    <n v="3"/>
    <s v="Maharashtra"/>
    <s v="Adult"/>
  </r>
  <r>
    <s v="STU-7958"/>
    <n v="25"/>
    <s v="Fine Arts"/>
    <x v="0"/>
    <n v="3"/>
    <s v="Essay Drafting"/>
    <n v="3.32"/>
    <n v="3.32"/>
    <n v="0"/>
    <n v="11"/>
    <x v="2"/>
    <n v="10"/>
    <s v="Uttar Pradesh"/>
    <s v="Adult"/>
  </r>
  <r>
    <s v="STU-3046"/>
    <n v="18"/>
    <s v="Software Engineering"/>
    <x v="0"/>
    <n v="2"/>
    <s v="Exam Prep"/>
    <n v="3.18"/>
    <n v="3.18"/>
    <n v="0"/>
    <n v="8"/>
    <x v="0"/>
    <n v="7"/>
    <s v="Punjab"/>
    <s v="Teen"/>
  </r>
  <r>
    <s v="STU-6674"/>
    <n v="22"/>
    <s v="Data Science"/>
    <x v="1"/>
    <n v="9"/>
    <s v="Essay Drafting"/>
    <n v="3.15"/>
    <n v="3.45"/>
    <n v="0.30000000000000027"/>
    <n v="5"/>
    <x v="0"/>
    <n v="2"/>
    <s v="Karnataka"/>
    <s v="Young Adult"/>
  </r>
  <r>
    <s v="STU-5728"/>
    <n v="23"/>
    <s v="Data Science"/>
    <x v="1"/>
    <n v="9"/>
    <s v="Brainstorming"/>
    <n v="3.45"/>
    <n v="3.65"/>
    <n v="0.19999999999999973"/>
    <n v="7"/>
    <x v="1"/>
    <n v="7"/>
    <s v="Kerala"/>
    <s v="Adult"/>
  </r>
  <r>
    <s v="STU-5466"/>
    <n v="23"/>
    <s v="Software Engineering"/>
    <x v="2"/>
    <n v="6"/>
    <s v="Brainstorming"/>
    <n v="3.87"/>
    <n v="3.87"/>
    <n v="0"/>
    <n v="5"/>
    <x v="0"/>
    <n v="6"/>
    <s v="Andhra Pradesh"/>
    <s v="Adult"/>
  </r>
  <r>
    <s v="STU-5790"/>
    <n v="22"/>
    <s v="Software Engineering"/>
    <x v="0"/>
    <n v="5"/>
    <s v="Exam Prep"/>
    <n v="2.5499999999999998"/>
    <n v="2.4500000000000002"/>
    <n v="-9.9999999999999645E-2"/>
    <n v="2"/>
    <x v="2"/>
    <n v="2"/>
    <s v="Tamil Nadu"/>
    <s v="Young Adult"/>
  </r>
  <r>
    <s v="STU-3538"/>
    <n v="18"/>
    <s v="Biology"/>
    <x v="1"/>
    <n v="6"/>
    <s v="Brainstorming"/>
    <n v="3.49"/>
    <n v="3.39"/>
    <n v="-0.10000000000000009"/>
    <n v="15"/>
    <x v="0"/>
    <n v="4"/>
    <s v="Maharashtra"/>
    <s v="Teen"/>
  </r>
  <r>
    <s v="STU-1284"/>
    <n v="25"/>
    <s v="Biology"/>
    <x v="4"/>
    <n v="1"/>
    <s v="Essay Drafting"/>
    <n v="3.69"/>
    <n v="3.89"/>
    <n v="0.20000000000000018"/>
    <n v="13"/>
    <x v="0"/>
    <n v="8"/>
    <s v="Rajasthan"/>
    <s v="Adult"/>
  </r>
  <r>
    <s v="STU-9579"/>
    <n v="22"/>
    <s v="Modern History"/>
    <x v="4"/>
    <n v="5"/>
    <s v="Essay Drafting"/>
    <n v="3.76"/>
    <n v="3.66"/>
    <n v="-9.9999999999999645E-2"/>
    <n v="5"/>
    <x v="2"/>
    <n v="5"/>
    <s v="Telangana"/>
    <s v="Young Adult"/>
  </r>
  <r>
    <s v="STU-3437"/>
    <n v="22"/>
    <s v="Biology"/>
    <x v="4"/>
    <n v="1"/>
    <s v="Literature Review"/>
    <n v="2.63"/>
    <n v="2.83"/>
    <n v="0.20000000000000018"/>
    <n v="13"/>
    <x v="0"/>
    <n v="4"/>
    <s v="Bihar"/>
    <s v="Young Adult"/>
  </r>
  <r>
    <s v="STU-0540"/>
    <n v="24"/>
    <s v="Software Engineering"/>
    <x v="0"/>
    <n v="7"/>
    <s v="Exam Prep"/>
    <n v="3.53"/>
    <n v="3.53"/>
    <n v="0"/>
    <n v="6"/>
    <x v="1"/>
    <n v="7"/>
    <s v="Odisha"/>
    <s v="Adult"/>
  </r>
  <r>
    <s v="STU-1820"/>
    <n v="25"/>
    <s v="Business Administration"/>
    <x v="0"/>
    <n v="5"/>
    <s v="Essay Drafting"/>
    <n v="3.55"/>
    <n v="3.45"/>
    <n v="-9.9999999999999645E-2"/>
    <n v="12"/>
    <x v="1"/>
    <n v="8"/>
    <s v="Karnataka"/>
    <s v="Adult"/>
  </r>
  <r>
    <s v="STU-1640"/>
    <n v="23"/>
    <s v="Business Administration"/>
    <x v="2"/>
    <n v="4"/>
    <s v="Essay Drafting"/>
    <n v="2.99"/>
    <n v="2.89"/>
    <n v="-0.10000000000000009"/>
    <n v="7"/>
    <x v="1"/>
    <n v="5"/>
    <s v="Madhya Pradesh"/>
    <s v="Adult"/>
  </r>
  <r>
    <s v="STU-8373"/>
    <n v="25"/>
    <s v="Biology"/>
    <x v="3"/>
    <n v="4"/>
    <s v="Brainstorming"/>
    <n v="3.14"/>
    <n v="3.44"/>
    <n v="0.29999999999999982"/>
    <n v="11"/>
    <x v="2"/>
    <n v="6"/>
    <s v="Rajasthan"/>
    <s v="Adult"/>
  </r>
  <r>
    <s v="STU-9429"/>
    <n v="19"/>
    <s v="Business Administration"/>
    <x v="1"/>
    <n v="8"/>
    <s v="Code Debugging"/>
    <n v="3.03"/>
    <n v="3.33"/>
    <n v="0.30000000000000027"/>
    <n v="9"/>
    <x v="0"/>
    <n v="9"/>
    <s v="Tamil Nadu"/>
    <s v="Teen"/>
  </r>
  <r>
    <s v="STU-6001"/>
    <n v="20"/>
    <s v="Software Engineering"/>
    <x v="4"/>
    <n v="4"/>
    <s v="Exam Prep"/>
    <n v="3.88"/>
    <n v="3.98"/>
    <n v="0.10000000000000009"/>
    <n v="2"/>
    <x v="1"/>
    <n v="1"/>
    <s v="Telangana"/>
    <s v="Young Adult"/>
  </r>
  <r>
    <s v="STU-1013"/>
    <n v="24"/>
    <s v="Software Engineering"/>
    <x v="1"/>
    <n v="10"/>
    <s v="Exam Prep"/>
    <n v="2.7"/>
    <n v="2.6"/>
    <n v="-0.10000000000000009"/>
    <n v="8"/>
    <x v="2"/>
    <n v="9"/>
    <s v="Madhya Pradesh"/>
    <s v="Adult"/>
  </r>
  <r>
    <s v="STU-6248"/>
    <n v="23"/>
    <s v="Business Administration"/>
    <x v="1"/>
    <n v="3"/>
    <s v="Literature Review"/>
    <n v="2.96"/>
    <n v="3.06"/>
    <n v="0.10000000000000009"/>
    <n v="4"/>
    <x v="0"/>
    <n v="1"/>
    <s v="Gujarat"/>
    <s v="Adult"/>
  </r>
  <r>
    <s v="STU-7084"/>
    <n v="24"/>
    <s v="Business Administration"/>
    <x v="1"/>
    <n v="6"/>
    <s v="Brainstorming"/>
    <n v="2.95"/>
    <n v="3.15"/>
    <n v="0.19999999999999973"/>
    <n v="14"/>
    <x v="0"/>
    <n v="4"/>
    <s v="Andhra Pradesh"/>
    <s v="Adult"/>
  </r>
  <r>
    <s v="STU-1697"/>
    <n v="25"/>
    <s v="Modern History"/>
    <x v="0"/>
    <n v="8"/>
    <s v="Essay Drafting"/>
    <n v="3.57"/>
    <n v="3.67"/>
    <n v="0.10000000000000009"/>
    <n v="9"/>
    <x v="1"/>
    <n v="10"/>
    <s v="Maharashtra"/>
    <s v="Adult"/>
  </r>
  <r>
    <s v="STU-0044"/>
    <n v="22"/>
    <s v="Data Science"/>
    <x v="2"/>
    <n v="9"/>
    <s v="Essay Drafting"/>
    <n v="3.1"/>
    <n v="3.3"/>
    <n v="0.19999999999999973"/>
    <n v="14"/>
    <x v="2"/>
    <n v="8"/>
    <s v="Telangana"/>
    <s v="Young Adult"/>
  </r>
  <r>
    <s v="STU-4260"/>
    <n v="21"/>
    <s v="Data Science"/>
    <x v="2"/>
    <n v="3"/>
    <s v="Literature Review"/>
    <n v="2.62"/>
    <n v="2.62"/>
    <n v="0"/>
    <n v="15"/>
    <x v="1"/>
    <n v="5"/>
    <s v="Uttar Pradesh"/>
    <s v="Young Adult"/>
  </r>
  <r>
    <s v="STU-8617"/>
    <n v="19"/>
    <s v="Software Engineering"/>
    <x v="2"/>
    <n v="9"/>
    <s v="Essay Drafting"/>
    <n v="2.6"/>
    <n v="2.6"/>
    <n v="0"/>
    <n v="9"/>
    <x v="1"/>
    <n v="5"/>
    <s v="Bihar"/>
    <s v="Teen"/>
  </r>
  <r>
    <s v="STU-4498"/>
    <n v="19"/>
    <s v="Business Administration"/>
    <x v="4"/>
    <n v="3"/>
    <s v="Essay Drafting"/>
    <n v="3.16"/>
    <n v="3.16"/>
    <n v="0"/>
    <n v="4"/>
    <x v="2"/>
    <n v="10"/>
    <s v="Bihar"/>
    <s v="Teen"/>
  </r>
  <r>
    <s v="STU-3474"/>
    <n v="18"/>
    <s v="Business Administration"/>
    <x v="3"/>
    <n v="9"/>
    <s v="Brainstorming"/>
    <n v="3.64"/>
    <n v="3.84"/>
    <n v="0.19999999999999973"/>
    <n v="6"/>
    <x v="2"/>
    <n v="3"/>
    <s v="Rajasthan"/>
    <s v="Teen"/>
  </r>
  <r>
    <s v="STU-4598"/>
    <n v="18"/>
    <s v="Fine Arts"/>
    <x v="1"/>
    <n v="6"/>
    <s v="Essay Drafting"/>
    <n v="2.97"/>
    <n v="2.87"/>
    <n v="-0.10000000000000009"/>
    <n v="6"/>
    <x v="2"/>
    <n v="6"/>
    <s v="Odisha"/>
    <s v="Teen"/>
  </r>
  <r>
    <s v="STU-9772"/>
    <n v="25"/>
    <s v="Software Engineering"/>
    <x v="1"/>
    <n v="6"/>
    <s v="Code Debugging"/>
    <n v="3.2"/>
    <n v="3.3"/>
    <n v="9.9999999999999645E-2"/>
    <n v="13"/>
    <x v="2"/>
    <n v="8"/>
    <s v="Uttar Pradesh"/>
    <s v="Adult"/>
  </r>
  <r>
    <s v="STU-0639"/>
    <n v="20"/>
    <s v="Fine Arts"/>
    <x v="0"/>
    <n v="3"/>
    <s v="Exam Prep"/>
    <n v="2.83"/>
    <n v="3.13"/>
    <n v="0.29999999999999982"/>
    <n v="8"/>
    <x v="0"/>
    <n v="7"/>
    <s v="Delhi"/>
    <s v="Young Adult"/>
  </r>
  <r>
    <s v="STU-1212"/>
    <n v="19"/>
    <s v="Fine Arts"/>
    <x v="3"/>
    <n v="9"/>
    <s v="Essay Drafting"/>
    <n v="2.52"/>
    <n v="2.82"/>
    <n v="0.29999999999999982"/>
    <n v="4"/>
    <x v="0"/>
    <n v="5"/>
    <s v="Maharashtra"/>
    <s v="Teen"/>
  </r>
  <r>
    <s v="STU-4755"/>
    <n v="18"/>
    <s v="Fine Arts"/>
    <x v="2"/>
    <n v="6"/>
    <s v="Exam Prep"/>
    <n v="2.73"/>
    <n v="2.73"/>
    <n v="0"/>
    <n v="12"/>
    <x v="0"/>
    <n v="1"/>
    <s v="Andhra Pradesh"/>
    <s v="Teen"/>
  </r>
  <r>
    <s v="STU-0394"/>
    <n v="23"/>
    <s v="Fine Arts"/>
    <x v="4"/>
    <n v="5"/>
    <s v="Literature Review"/>
    <n v="2.5099999999999998"/>
    <n v="2.71"/>
    <n v="0.20000000000000018"/>
    <n v="11"/>
    <x v="1"/>
    <n v="6"/>
    <s v="Gujarat"/>
    <s v="Adult"/>
  </r>
  <r>
    <s v="STU-8657"/>
    <n v="25"/>
    <s v="Software Engineering"/>
    <x v="3"/>
    <n v="9"/>
    <s v="Code Debugging"/>
    <n v="3.74"/>
    <n v="3.64"/>
    <n v="-0.10000000000000009"/>
    <n v="5"/>
    <x v="2"/>
    <n v="7"/>
    <s v="Odisha"/>
    <s v="Adult"/>
  </r>
  <r>
    <s v="STU-4730"/>
    <n v="24"/>
    <s v="Biology"/>
    <x v="4"/>
    <n v="1"/>
    <s v="Exam Prep"/>
    <n v="3.92"/>
    <n v="4"/>
    <n v="8.0000000000000071E-2"/>
    <n v="14"/>
    <x v="0"/>
    <n v="9"/>
    <s v="Maharashtra"/>
    <s v="Adult"/>
  </r>
  <r>
    <s v="STU-7342"/>
    <n v="23"/>
    <s v="Fine Arts"/>
    <x v="3"/>
    <n v="1"/>
    <s v="Code Debugging"/>
    <n v="3.36"/>
    <n v="3.36"/>
    <n v="0"/>
    <n v="10"/>
    <x v="2"/>
    <n v="2"/>
    <s v="Punjab"/>
    <s v="Adult"/>
  </r>
  <r>
    <s v="STU-8240"/>
    <n v="22"/>
    <s v="Business Administration"/>
    <x v="2"/>
    <n v="7"/>
    <s v="Essay Drafting"/>
    <n v="2.58"/>
    <n v="2.58"/>
    <n v="0"/>
    <n v="4"/>
    <x v="0"/>
    <n v="2"/>
    <s v="Karnataka"/>
    <s v="Young Adult"/>
  </r>
  <r>
    <s v="STU-2244"/>
    <n v="19"/>
    <s v="Business Administration"/>
    <x v="3"/>
    <n v="4"/>
    <s v="Code Debugging"/>
    <n v="3.03"/>
    <n v="3.03"/>
    <n v="0"/>
    <n v="12"/>
    <x v="2"/>
    <n v="7"/>
    <s v="Haryana"/>
    <s v="Teen"/>
  </r>
  <r>
    <s v="STU-2773"/>
    <n v="20"/>
    <s v="Fine Arts"/>
    <x v="3"/>
    <n v="3"/>
    <s v="Code Debugging"/>
    <n v="3.27"/>
    <n v="3.27"/>
    <n v="0"/>
    <n v="2"/>
    <x v="0"/>
    <n v="9"/>
    <s v="Kerala"/>
    <s v="Young Adult"/>
  </r>
  <r>
    <s v="STU-5232"/>
    <n v="18"/>
    <s v="Modern History"/>
    <x v="3"/>
    <n v="4"/>
    <s v="Essay Drafting"/>
    <n v="2.98"/>
    <n v="3.08"/>
    <n v="0.10000000000000009"/>
    <n v="9"/>
    <x v="2"/>
    <n v="1"/>
    <s v="Bihar"/>
    <s v="Teen"/>
  </r>
  <r>
    <s v="STU-7529"/>
    <n v="23"/>
    <s v="Fine Arts"/>
    <x v="2"/>
    <n v="10"/>
    <s v="Exam Prep"/>
    <n v="2.97"/>
    <n v="3.17"/>
    <n v="0.19999999999999973"/>
    <n v="2"/>
    <x v="2"/>
    <n v="9"/>
    <s v="Delhi"/>
    <s v="Adult"/>
  </r>
  <r>
    <s v="STU-0323"/>
    <n v="21"/>
    <s v="Software Engineering"/>
    <x v="3"/>
    <n v="8"/>
    <s v="Exam Prep"/>
    <n v="3.14"/>
    <n v="3.24"/>
    <n v="0.10000000000000009"/>
    <n v="4"/>
    <x v="2"/>
    <n v="10"/>
    <s v="Tamil Nadu"/>
    <s v="Young Adult"/>
  </r>
  <r>
    <s v="STU-0067"/>
    <n v="18"/>
    <s v="Modern History"/>
    <x v="0"/>
    <n v="2"/>
    <s v="Code Debugging"/>
    <n v="3.82"/>
    <n v="3.92"/>
    <n v="0.10000000000000009"/>
    <n v="13"/>
    <x v="0"/>
    <n v="9"/>
    <s v="Telangana"/>
    <s v="Teen"/>
  </r>
  <r>
    <s v="STU-7378"/>
    <n v="21"/>
    <s v="Fine Arts"/>
    <x v="0"/>
    <n v="3"/>
    <s v="Exam Prep"/>
    <n v="3.4"/>
    <n v="3.4"/>
    <n v="0"/>
    <n v="9"/>
    <x v="2"/>
    <n v="3"/>
    <s v="Delhi"/>
    <s v="Young Adult"/>
  </r>
  <r>
    <s v="STU-5842"/>
    <n v="18"/>
    <s v="Business Administration"/>
    <x v="1"/>
    <n v="7"/>
    <s v="Brainstorming"/>
    <n v="3.77"/>
    <n v="3.87"/>
    <n v="0.10000000000000009"/>
    <n v="12"/>
    <x v="2"/>
    <n v="5"/>
    <s v="Bihar"/>
    <s v="Teen"/>
  </r>
  <r>
    <s v="STU-5122"/>
    <n v="19"/>
    <s v="Business Administration"/>
    <x v="0"/>
    <n v="1"/>
    <s v="Code Debugging"/>
    <n v="3.41"/>
    <n v="3.31"/>
    <n v="-0.10000000000000009"/>
    <n v="6"/>
    <x v="0"/>
    <n v="1"/>
    <s v="Kerala"/>
    <s v="Teen"/>
  </r>
  <r>
    <s v="STU-0858"/>
    <n v="24"/>
    <s v="Fine Arts"/>
    <x v="3"/>
    <n v="1"/>
    <s v="Code Debugging"/>
    <n v="3.59"/>
    <n v="3.59"/>
    <n v="0"/>
    <n v="13"/>
    <x v="2"/>
    <n v="7"/>
    <s v="West Bengal"/>
    <s v="Adult"/>
  </r>
  <r>
    <s v="STU-6480"/>
    <n v="24"/>
    <s v="Biology"/>
    <x v="4"/>
    <n v="8"/>
    <s v="Code Debugging"/>
    <n v="2.78"/>
    <n v="2.78"/>
    <n v="0"/>
    <n v="2"/>
    <x v="1"/>
    <n v="8"/>
    <s v="Kerala"/>
    <s v="Adult"/>
  </r>
  <r>
    <s v="STU-2481"/>
    <n v="21"/>
    <s v="Business Administration"/>
    <x v="0"/>
    <n v="9"/>
    <s v="Literature Review"/>
    <n v="3"/>
    <n v="3"/>
    <n v="0"/>
    <n v="10"/>
    <x v="2"/>
    <n v="3"/>
    <s v="Uttar Pradesh"/>
    <s v="Young Adult"/>
  </r>
  <r>
    <s v="STU-3177"/>
    <n v="18"/>
    <s v="Modern History"/>
    <x v="2"/>
    <n v="5"/>
    <s v="Brainstorming"/>
    <n v="3.24"/>
    <n v="3.44"/>
    <n v="0.19999999999999973"/>
    <n v="8"/>
    <x v="1"/>
    <n v="5"/>
    <s v="Punjab"/>
    <s v="Teen"/>
  </r>
  <r>
    <s v="STU-7542"/>
    <n v="25"/>
    <s v="Fine Arts"/>
    <x v="3"/>
    <n v="3"/>
    <s v="Brainstorming"/>
    <n v="2.94"/>
    <n v="3.24"/>
    <n v="0.30000000000000027"/>
    <n v="7"/>
    <x v="0"/>
    <n v="1"/>
    <s v="Telangana"/>
    <s v="Adult"/>
  </r>
  <r>
    <s v="STU-7241"/>
    <n v="22"/>
    <s v="Data Science"/>
    <x v="2"/>
    <n v="8"/>
    <s v="Essay Drafting"/>
    <n v="3.84"/>
    <n v="3.74"/>
    <n v="-9.9999999999999645E-2"/>
    <n v="9"/>
    <x v="0"/>
    <n v="2"/>
    <s v="Gujarat"/>
    <s v="Young Adult"/>
  </r>
  <r>
    <s v="STU-3013"/>
    <n v="25"/>
    <s v="Fine Arts"/>
    <x v="3"/>
    <n v="2"/>
    <s v="Brainstorming"/>
    <n v="3.47"/>
    <n v="3.77"/>
    <n v="0.29999999999999982"/>
    <n v="9"/>
    <x v="1"/>
    <n v="3"/>
    <s v="Haryana"/>
    <s v="Adult"/>
  </r>
  <r>
    <s v="STU-5231"/>
    <n v="19"/>
    <s v="Modern History"/>
    <x v="3"/>
    <n v="3"/>
    <s v="Code Debugging"/>
    <n v="3.6"/>
    <n v="3.6"/>
    <n v="0"/>
    <n v="12"/>
    <x v="1"/>
    <n v="6"/>
    <s v="Tamil Nadu"/>
    <s v="Teen"/>
  </r>
  <r>
    <s v="STU-4656"/>
    <n v="25"/>
    <s v="Fine Arts"/>
    <x v="0"/>
    <n v="1"/>
    <s v="Code Debugging"/>
    <n v="3.77"/>
    <n v="4"/>
    <n v="0.22999999999999998"/>
    <n v="13"/>
    <x v="1"/>
    <n v="8"/>
    <s v="West Bengal"/>
    <s v="Adult"/>
  </r>
  <r>
    <s v="STU-1962"/>
    <n v="20"/>
    <s v="Fine Arts"/>
    <x v="2"/>
    <n v="8"/>
    <s v="Literature Review"/>
    <n v="3.15"/>
    <n v="3.15"/>
    <n v="0"/>
    <n v="9"/>
    <x v="0"/>
    <n v="7"/>
    <s v="Uttar Pradesh"/>
    <s v="Young Adult"/>
  </r>
  <r>
    <s v="STU-4054"/>
    <n v="24"/>
    <s v="Business Administration"/>
    <x v="2"/>
    <n v="7"/>
    <s v="Essay Drafting"/>
    <n v="3.17"/>
    <n v="3.37"/>
    <n v="0.20000000000000018"/>
    <n v="10"/>
    <x v="2"/>
    <n v="5"/>
    <s v="Rajasthan"/>
    <s v="Adult"/>
  </r>
  <r>
    <s v="STU-9226"/>
    <n v="19"/>
    <s v="Biology"/>
    <x v="3"/>
    <n v="6"/>
    <s v="Essay Drafting"/>
    <n v="2.57"/>
    <n v="2.4700000000000002"/>
    <n v="-9.9999999999999645E-2"/>
    <n v="3"/>
    <x v="2"/>
    <n v="10"/>
    <s v="West Bengal"/>
    <s v="Teen"/>
  </r>
  <r>
    <s v="STU-6530"/>
    <n v="21"/>
    <s v="Software Engineering"/>
    <x v="1"/>
    <n v="10"/>
    <s v="Code Debugging"/>
    <n v="3.31"/>
    <n v="3.21"/>
    <n v="-0.10000000000000009"/>
    <n v="8"/>
    <x v="0"/>
    <n v="3"/>
    <s v="Karnataka"/>
    <s v="Young Adult"/>
  </r>
  <r>
    <s v="STU-6518"/>
    <n v="21"/>
    <s v="Data Science"/>
    <x v="2"/>
    <n v="9"/>
    <s v="Exam Prep"/>
    <n v="3.05"/>
    <n v="3.15"/>
    <n v="0.10000000000000009"/>
    <n v="6"/>
    <x v="0"/>
    <n v="6"/>
    <s v="West Bengal"/>
    <s v="Young Adult"/>
  </r>
  <r>
    <s v="STU-6932"/>
    <n v="25"/>
    <s v="Modern History"/>
    <x v="2"/>
    <n v="5"/>
    <s v="Essay Drafting"/>
    <n v="3.64"/>
    <n v="3.74"/>
    <n v="0.10000000000000009"/>
    <n v="9"/>
    <x v="1"/>
    <n v="10"/>
    <s v="Madhya Pradesh"/>
    <s v="Adult"/>
  </r>
  <r>
    <s v="STU-8015"/>
    <n v="24"/>
    <s v="Software Engineering"/>
    <x v="3"/>
    <n v="10"/>
    <s v="Literature Review"/>
    <n v="3.45"/>
    <n v="3.75"/>
    <n v="0.29999999999999982"/>
    <n v="12"/>
    <x v="0"/>
    <n v="8"/>
    <s v="Andhra Pradesh"/>
    <s v="Adult"/>
  </r>
  <r>
    <s v="STU-5360"/>
    <n v="18"/>
    <s v="Software Engineering"/>
    <x v="0"/>
    <n v="8"/>
    <s v="Exam Prep"/>
    <n v="3.48"/>
    <n v="3.48"/>
    <n v="0"/>
    <n v="3"/>
    <x v="0"/>
    <n v="5"/>
    <s v="Kerala"/>
    <s v="Teen"/>
  </r>
  <r>
    <s v="STU-0939"/>
    <n v="20"/>
    <s v="Business Administration"/>
    <x v="0"/>
    <n v="6"/>
    <s v="Code Debugging"/>
    <n v="3.84"/>
    <n v="3.74"/>
    <n v="-9.9999999999999645E-2"/>
    <n v="7"/>
    <x v="0"/>
    <n v="9"/>
    <s v="Madhya Pradesh"/>
    <s v="Young Adult"/>
  </r>
  <r>
    <s v="STU-4486"/>
    <n v="23"/>
    <s v="Data Science"/>
    <x v="1"/>
    <n v="10"/>
    <s v="Code Debugging"/>
    <n v="2.88"/>
    <n v="3.08"/>
    <n v="0.20000000000000018"/>
    <n v="15"/>
    <x v="0"/>
    <n v="9"/>
    <s v="Uttar Pradesh"/>
    <s v="Adult"/>
  </r>
  <r>
    <s v="STU-9676"/>
    <n v="23"/>
    <s v="Fine Arts"/>
    <x v="0"/>
    <n v="5"/>
    <s v="Literature Review"/>
    <n v="3.6"/>
    <n v="3.5"/>
    <n v="-0.10000000000000009"/>
    <n v="9"/>
    <x v="1"/>
    <n v="7"/>
    <s v="Bihar"/>
    <s v="Adult"/>
  </r>
  <r>
    <s v="STU-7489"/>
    <n v="24"/>
    <s v="Biology"/>
    <x v="3"/>
    <n v="2"/>
    <s v="Essay Drafting"/>
    <n v="2.86"/>
    <n v="3.16"/>
    <n v="0.30000000000000027"/>
    <n v="11"/>
    <x v="0"/>
    <n v="6"/>
    <s v="Delhi"/>
    <s v="Adult"/>
  </r>
  <r>
    <s v="STU-0197"/>
    <n v="21"/>
    <s v="Software Engineering"/>
    <x v="4"/>
    <n v="5"/>
    <s v="Code Debugging"/>
    <n v="3.93"/>
    <n v="4"/>
    <n v="6.999999999999984E-2"/>
    <n v="7"/>
    <x v="0"/>
    <n v="1"/>
    <s v="Tamil Nadu"/>
    <s v="Young Adult"/>
  </r>
  <r>
    <s v="STU-9474"/>
    <n v="23"/>
    <s v="Biology"/>
    <x v="4"/>
    <n v="8"/>
    <s v="Literature Review"/>
    <n v="2.98"/>
    <n v="3.08"/>
    <n v="0.10000000000000009"/>
    <n v="2"/>
    <x v="0"/>
    <n v="1"/>
    <s v="Karnataka"/>
    <s v="Adult"/>
  </r>
  <r>
    <s v="STU-5543"/>
    <n v="20"/>
    <s v="Software Engineering"/>
    <x v="1"/>
    <n v="2"/>
    <s v="Exam Prep"/>
    <n v="3.53"/>
    <n v="3.43"/>
    <n v="-9.9999999999999645E-2"/>
    <n v="11"/>
    <x v="2"/>
    <n v="2"/>
    <s v="Haryana"/>
    <s v="Young Adult"/>
  </r>
  <r>
    <s v="STU-2779"/>
    <n v="23"/>
    <s v="Biology"/>
    <x v="4"/>
    <n v="3"/>
    <s v="Exam Prep"/>
    <n v="3.58"/>
    <n v="3.78"/>
    <n v="0.19999999999999973"/>
    <n v="5"/>
    <x v="1"/>
    <n v="6"/>
    <s v="Rajasthan"/>
    <s v="Adult"/>
  </r>
  <r>
    <s v="STU-5537"/>
    <n v="22"/>
    <s v="Business Administration"/>
    <x v="3"/>
    <n v="10"/>
    <s v="Exam Prep"/>
    <n v="2.97"/>
    <n v="2.87"/>
    <n v="-0.10000000000000009"/>
    <n v="14"/>
    <x v="2"/>
    <n v="9"/>
    <s v="Haryana"/>
    <s v="Young Adult"/>
  </r>
  <r>
    <s v="STU-9364"/>
    <n v="25"/>
    <s v="Business Administration"/>
    <x v="2"/>
    <n v="4"/>
    <s v="Essay Drafting"/>
    <n v="3.87"/>
    <n v="4"/>
    <n v="0.12999999999999989"/>
    <n v="5"/>
    <x v="2"/>
    <n v="7"/>
    <s v="Madhya Pradesh"/>
    <s v="Adult"/>
  </r>
  <r>
    <s v="STU-2974"/>
    <n v="19"/>
    <s v="Software Engineering"/>
    <x v="4"/>
    <n v="1"/>
    <s v="Code Debugging"/>
    <n v="3.51"/>
    <n v="3.51"/>
    <n v="0"/>
    <n v="13"/>
    <x v="1"/>
    <n v="8"/>
    <s v="Punjab"/>
    <s v="Teen"/>
  </r>
  <r>
    <s v="STU-8851"/>
    <n v="22"/>
    <s v="Biology"/>
    <x v="1"/>
    <n v="4"/>
    <s v="Exam Prep"/>
    <n v="3.73"/>
    <n v="4"/>
    <n v="0.27"/>
    <n v="14"/>
    <x v="1"/>
    <n v="8"/>
    <s v="Maharashtra"/>
    <s v="Young Adult"/>
  </r>
  <r>
    <s v="STU-3184"/>
    <n v="23"/>
    <s v="Data Science"/>
    <x v="2"/>
    <n v="5"/>
    <s v="Exam Prep"/>
    <n v="3.58"/>
    <n v="3.78"/>
    <n v="0.19999999999999973"/>
    <n v="13"/>
    <x v="1"/>
    <n v="1"/>
    <s v="Haryana"/>
    <s v="Adult"/>
  </r>
  <r>
    <s v="STU-0817"/>
    <n v="21"/>
    <s v="Fine Arts"/>
    <x v="2"/>
    <n v="10"/>
    <s v="Literature Review"/>
    <n v="3.23"/>
    <n v="3.53"/>
    <n v="0.29999999999999982"/>
    <n v="5"/>
    <x v="1"/>
    <n v="7"/>
    <s v="West Bengal"/>
    <s v="Young Adult"/>
  </r>
  <r>
    <s v="STU-9692"/>
    <n v="25"/>
    <s v="Biology"/>
    <x v="2"/>
    <n v="7"/>
    <s v="Essay Drafting"/>
    <n v="3.97"/>
    <n v="4"/>
    <n v="2.9999999999999805E-2"/>
    <n v="4"/>
    <x v="1"/>
    <n v="2"/>
    <s v="Haryana"/>
    <s v="Adult"/>
  </r>
  <r>
    <s v="STU-8789"/>
    <n v="24"/>
    <s v="Biology"/>
    <x v="1"/>
    <n v="1"/>
    <s v="Exam Prep"/>
    <n v="2.66"/>
    <n v="2.66"/>
    <n v="0"/>
    <n v="8"/>
    <x v="2"/>
    <n v="2"/>
    <s v="Tamil Nadu"/>
    <s v="Adult"/>
  </r>
  <r>
    <s v="STU-5266"/>
    <n v="18"/>
    <s v="Fine Arts"/>
    <x v="3"/>
    <n v="4"/>
    <s v="Essay Drafting"/>
    <n v="2.52"/>
    <n v="2.42"/>
    <n v="-0.10000000000000009"/>
    <n v="5"/>
    <x v="1"/>
    <n v="3"/>
    <s v="Bihar"/>
    <s v="Teen"/>
  </r>
  <r>
    <s v="STU-6823"/>
    <n v="23"/>
    <s v="Modern History"/>
    <x v="4"/>
    <n v="10"/>
    <s v="Exam Prep"/>
    <n v="3.78"/>
    <n v="3.68"/>
    <n v="-9.9999999999999645E-2"/>
    <n v="7"/>
    <x v="1"/>
    <n v="3"/>
    <s v="Kerala"/>
    <s v="Adult"/>
  </r>
  <r>
    <s v="STU-0461"/>
    <n v="23"/>
    <s v="Biology"/>
    <x v="3"/>
    <n v="9"/>
    <s v="Brainstorming"/>
    <n v="2.82"/>
    <n v="2.72"/>
    <n v="-9.9999999999999645E-2"/>
    <n v="3"/>
    <x v="0"/>
    <n v="3"/>
    <s v="Haryana"/>
    <s v="Adult"/>
  </r>
  <r>
    <s v="STU-9793"/>
    <n v="21"/>
    <s v="Modern History"/>
    <x v="0"/>
    <n v="5"/>
    <s v="Brainstorming"/>
    <n v="3.86"/>
    <n v="4"/>
    <n v="0.14000000000000012"/>
    <n v="7"/>
    <x v="2"/>
    <n v="2"/>
    <s v="Madhya Pradesh"/>
    <s v="Young Adult"/>
  </r>
  <r>
    <s v="STU-5652"/>
    <n v="18"/>
    <s v="Business Administration"/>
    <x v="4"/>
    <n v="5"/>
    <s v="Literature Review"/>
    <n v="3.86"/>
    <n v="3.76"/>
    <n v="-0.10000000000000009"/>
    <n v="4"/>
    <x v="1"/>
    <n v="10"/>
    <s v="Gujarat"/>
    <s v="Teen"/>
  </r>
  <r>
    <s v="STU-8432"/>
    <n v="19"/>
    <s v="Data Science"/>
    <x v="1"/>
    <n v="8"/>
    <s v="Exam Prep"/>
    <n v="2.82"/>
    <n v="2.72"/>
    <n v="-9.9999999999999645E-2"/>
    <n v="10"/>
    <x v="2"/>
    <n v="8"/>
    <s v="Maharashtra"/>
    <s v="Teen"/>
  </r>
  <r>
    <s v="STU-5053"/>
    <n v="18"/>
    <s v="Software Engineering"/>
    <x v="1"/>
    <n v="5"/>
    <s v="Exam Prep"/>
    <n v="2.6"/>
    <n v="2.7"/>
    <n v="0.10000000000000009"/>
    <n v="9"/>
    <x v="1"/>
    <n v="6"/>
    <s v="Tamil Nadu"/>
    <s v="Teen"/>
  </r>
  <r>
    <s v="STU-5342"/>
    <n v="21"/>
    <s v="Modern History"/>
    <x v="3"/>
    <n v="3"/>
    <s v="Literature Review"/>
    <n v="3.15"/>
    <n v="3.35"/>
    <n v="0.20000000000000018"/>
    <n v="11"/>
    <x v="2"/>
    <n v="6"/>
    <s v="Telangana"/>
    <s v="Young Adult"/>
  </r>
  <r>
    <s v="STU-3925"/>
    <n v="18"/>
    <s v="Software Engineering"/>
    <x v="0"/>
    <n v="7"/>
    <s v="Literature Review"/>
    <n v="3.23"/>
    <n v="3.33"/>
    <n v="0.10000000000000009"/>
    <n v="3"/>
    <x v="0"/>
    <n v="2"/>
    <s v="Madhya Pradesh"/>
    <s v="Teen"/>
  </r>
  <r>
    <s v="STU-6282"/>
    <n v="24"/>
    <s v="Fine Arts"/>
    <x v="4"/>
    <n v="8"/>
    <s v="Literature Review"/>
    <n v="3.32"/>
    <n v="3.52"/>
    <n v="0.20000000000000018"/>
    <n v="14"/>
    <x v="2"/>
    <n v="2"/>
    <s v="Tamil Nadu"/>
    <s v="Adult"/>
  </r>
  <r>
    <s v="STU-5921"/>
    <n v="21"/>
    <s v="Business Administration"/>
    <x v="4"/>
    <n v="2"/>
    <s v="Brainstorming"/>
    <n v="3.33"/>
    <n v="3.53"/>
    <n v="0.19999999999999973"/>
    <n v="15"/>
    <x v="1"/>
    <n v="9"/>
    <s v="Haryana"/>
    <s v="Young Adult"/>
  </r>
  <r>
    <s v="STU-9763"/>
    <n v="20"/>
    <s v="Data Science"/>
    <x v="3"/>
    <n v="3"/>
    <s v="Brainstorming"/>
    <n v="2.64"/>
    <n v="2.54"/>
    <n v="-0.10000000000000009"/>
    <n v="10"/>
    <x v="2"/>
    <n v="7"/>
    <s v="Odisha"/>
    <s v="Young Adult"/>
  </r>
  <r>
    <s v="STU-4769"/>
    <n v="21"/>
    <s v="Software Engineering"/>
    <x v="1"/>
    <n v="10"/>
    <s v="Literature Review"/>
    <n v="2.69"/>
    <n v="2.89"/>
    <n v="0.20000000000000018"/>
    <n v="14"/>
    <x v="0"/>
    <n v="7"/>
    <s v="Punjab"/>
    <s v="Young Adult"/>
  </r>
  <r>
    <s v="STU-9609"/>
    <n v="25"/>
    <s v="Biology"/>
    <x v="0"/>
    <n v="1"/>
    <s v="Literature Review"/>
    <n v="2.86"/>
    <n v="2.96"/>
    <n v="0.10000000000000009"/>
    <n v="3"/>
    <x v="2"/>
    <n v="6"/>
    <s v="Karnataka"/>
    <s v="Adult"/>
  </r>
  <r>
    <s v="STU-8845"/>
    <n v="25"/>
    <s v="Business Administration"/>
    <x v="4"/>
    <n v="6"/>
    <s v="Essay Drafting"/>
    <n v="3.94"/>
    <n v="4"/>
    <n v="6.0000000000000053E-2"/>
    <n v="5"/>
    <x v="1"/>
    <n v="7"/>
    <s v="Andhra Pradesh"/>
    <s v="Adult"/>
  </r>
  <r>
    <s v="STU-1938"/>
    <n v="25"/>
    <s v="Modern History"/>
    <x v="2"/>
    <n v="5"/>
    <s v="Brainstorming"/>
    <n v="3.35"/>
    <n v="3.35"/>
    <n v="0"/>
    <n v="3"/>
    <x v="2"/>
    <n v="8"/>
    <s v="Maharashtra"/>
    <s v="Adult"/>
  </r>
  <r>
    <s v="STU-3321"/>
    <n v="19"/>
    <s v="Biology"/>
    <x v="4"/>
    <n v="9"/>
    <s v="Exam Prep"/>
    <n v="3.76"/>
    <n v="3.86"/>
    <n v="0.10000000000000009"/>
    <n v="3"/>
    <x v="2"/>
    <n v="7"/>
    <s v="Delhi"/>
    <s v="Teen"/>
  </r>
  <r>
    <s v="STU-0188"/>
    <n v="19"/>
    <s v="Data Science"/>
    <x v="1"/>
    <n v="2"/>
    <s v="Essay Drafting"/>
    <n v="3.1"/>
    <n v="3.1"/>
    <n v="0"/>
    <n v="15"/>
    <x v="1"/>
    <n v="9"/>
    <s v="Bihar"/>
    <s v="Teen"/>
  </r>
  <r>
    <s v="STU-3868"/>
    <n v="22"/>
    <s v="Fine Arts"/>
    <x v="4"/>
    <n v="2"/>
    <s v="Brainstorming"/>
    <n v="3.41"/>
    <n v="3.61"/>
    <n v="0.19999999999999973"/>
    <n v="12"/>
    <x v="2"/>
    <n v="2"/>
    <s v="Rajasthan"/>
    <s v="Young Adult"/>
  </r>
  <r>
    <s v="STU-6365"/>
    <n v="22"/>
    <s v="Modern History"/>
    <x v="4"/>
    <n v="9"/>
    <s v="Exam Prep"/>
    <n v="3.25"/>
    <n v="3.55"/>
    <n v="0.29999999999999982"/>
    <n v="13"/>
    <x v="2"/>
    <n v="6"/>
    <s v="Madhya Pradesh"/>
    <s v="Young Adult"/>
  </r>
  <r>
    <s v="STU-5980"/>
    <n v="19"/>
    <s v="Fine Arts"/>
    <x v="1"/>
    <n v="1"/>
    <s v="Brainstorming"/>
    <n v="2.86"/>
    <n v="2.76"/>
    <n v="-0.10000000000000009"/>
    <n v="14"/>
    <x v="0"/>
    <n v="10"/>
    <s v="Karnataka"/>
    <s v="Teen"/>
  </r>
  <r>
    <s v="STU-2366"/>
    <n v="18"/>
    <s v="Software Engineering"/>
    <x v="1"/>
    <n v="5"/>
    <s v="Code Debugging"/>
    <n v="2.54"/>
    <n v="2.44"/>
    <n v="-0.10000000000000009"/>
    <n v="9"/>
    <x v="0"/>
    <n v="4"/>
    <s v="Punjab"/>
    <s v="Teen"/>
  </r>
  <r>
    <s v="STU-3512"/>
    <n v="20"/>
    <s v="Biology"/>
    <x v="4"/>
    <n v="10"/>
    <s v="Literature Review"/>
    <n v="3.79"/>
    <n v="4"/>
    <n v="0.20999999999999996"/>
    <n v="6"/>
    <x v="1"/>
    <n v="9"/>
    <s v="Kerala"/>
    <s v="Young Adult"/>
  </r>
  <r>
    <s v="STU-2113"/>
    <n v="21"/>
    <s v="Modern History"/>
    <x v="2"/>
    <n v="8"/>
    <s v="Brainstorming"/>
    <n v="3.48"/>
    <n v="3.68"/>
    <n v="0.20000000000000018"/>
    <n v="12"/>
    <x v="2"/>
    <n v="7"/>
    <s v="Karnataka"/>
    <s v="Young Adult"/>
  </r>
  <r>
    <s v="STU-6742"/>
    <n v="22"/>
    <s v="Data Science"/>
    <x v="0"/>
    <n v="5"/>
    <s v="Exam Prep"/>
    <n v="3.4"/>
    <n v="3.6"/>
    <n v="0.20000000000000018"/>
    <n v="15"/>
    <x v="0"/>
    <n v="2"/>
    <s v="Karnataka"/>
    <s v="Young Adult"/>
  </r>
  <r>
    <s v="STU-3372"/>
    <n v="23"/>
    <s v="Software Engineering"/>
    <x v="3"/>
    <n v="3"/>
    <s v="Code Debugging"/>
    <n v="3.25"/>
    <n v="3.45"/>
    <n v="0.20000000000000018"/>
    <n v="14"/>
    <x v="2"/>
    <n v="2"/>
    <s v="Telangana"/>
    <s v="Adult"/>
  </r>
  <r>
    <s v="STU-2699"/>
    <n v="20"/>
    <s v="Modern History"/>
    <x v="4"/>
    <n v="9"/>
    <s v="Literature Review"/>
    <n v="2.88"/>
    <n v="2.98"/>
    <n v="0.10000000000000009"/>
    <n v="2"/>
    <x v="2"/>
    <n v="4"/>
    <s v="Punjab"/>
    <s v="Young Adult"/>
  </r>
  <r>
    <s v="STU-1030"/>
    <n v="19"/>
    <s v="Fine Arts"/>
    <x v="4"/>
    <n v="8"/>
    <s v="Brainstorming"/>
    <n v="3.04"/>
    <n v="2.94"/>
    <n v="-0.10000000000000009"/>
    <n v="15"/>
    <x v="1"/>
    <n v="9"/>
    <s v="Tamil Nadu"/>
    <s v="Teen"/>
  </r>
  <r>
    <s v="STU-0310"/>
    <n v="23"/>
    <s v="Business Administration"/>
    <x v="3"/>
    <n v="2"/>
    <s v="Exam Prep"/>
    <n v="2.91"/>
    <n v="2.81"/>
    <n v="-0.10000000000000009"/>
    <n v="13"/>
    <x v="2"/>
    <n v="7"/>
    <s v="Maharashtra"/>
    <s v="Adult"/>
  </r>
  <r>
    <s v="STU-8773"/>
    <n v="18"/>
    <s v="Software Engineering"/>
    <x v="0"/>
    <n v="9"/>
    <s v="Code Debugging"/>
    <n v="3.03"/>
    <n v="3.23"/>
    <n v="0.20000000000000018"/>
    <n v="8"/>
    <x v="1"/>
    <n v="5"/>
    <s v="Uttar Pradesh"/>
    <s v="Teen"/>
  </r>
  <r>
    <s v="STU-7039"/>
    <n v="20"/>
    <s v="Modern History"/>
    <x v="0"/>
    <n v="2"/>
    <s v="Brainstorming"/>
    <n v="3.24"/>
    <n v="3.34"/>
    <n v="9.9999999999999645E-2"/>
    <n v="10"/>
    <x v="2"/>
    <n v="6"/>
    <s v="Kerala"/>
    <s v="Young Adult"/>
  </r>
  <r>
    <s v="STU-0536"/>
    <n v="20"/>
    <s v="Business Administration"/>
    <x v="1"/>
    <n v="10"/>
    <s v="Code Debugging"/>
    <n v="2.64"/>
    <n v="2.74"/>
    <n v="0.10000000000000009"/>
    <n v="14"/>
    <x v="2"/>
    <n v="7"/>
    <s v="Haryana"/>
    <s v="Young Adult"/>
  </r>
  <r>
    <s v="STU-8214"/>
    <n v="21"/>
    <s v="Biology"/>
    <x v="4"/>
    <n v="1"/>
    <s v="Literature Review"/>
    <n v="2.77"/>
    <n v="2.67"/>
    <n v="-0.10000000000000009"/>
    <n v="9"/>
    <x v="2"/>
    <n v="2"/>
    <s v="Bihar"/>
    <s v="Young Adult"/>
  </r>
  <r>
    <s v="STU-8035"/>
    <n v="21"/>
    <s v="Data Science"/>
    <x v="3"/>
    <n v="9"/>
    <s v="Exam Prep"/>
    <n v="3.09"/>
    <n v="3.09"/>
    <n v="0"/>
    <n v="12"/>
    <x v="0"/>
    <n v="1"/>
    <s v="Odisha"/>
    <s v="Young Adult"/>
  </r>
  <r>
    <s v="STU-0347"/>
    <n v="25"/>
    <s v="Software Engineering"/>
    <x v="3"/>
    <n v="3"/>
    <s v="Exam Prep"/>
    <n v="3.26"/>
    <n v="3.46"/>
    <n v="0.20000000000000018"/>
    <n v="9"/>
    <x v="0"/>
    <n v="9"/>
    <s v="Odisha"/>
    <s v="Adult"/>
  </r>
  <r>
    <s v="STU-6903"/>
    <n v="23"/>
    <s v="Modern History"/>
    <x v="2"/>
    <n v="4"/>
    <s v="Brainstorming"/>
    <n v="2.9"/>
    <n v="3"/>
    <n v="0.10000000000000009"/>
    <n v="11"/>
    <x v="0"/>
    <n v="8"/>
    <s v="Uttar Pradesh"/>
    <s v="Adult"/>
  </r>
  <r>
    <s v="STU-3571"/>
    <n v="18"/>
    <s v="Business Administration"/>
    <x v="4"/>
    <n v="9"/>
    <s v="Code Debugging"/>
    <n v="3.71"/>
    <n v="3.61"/>
    <n v="-0.10000000000000009"/>
    <n v="2"/>
    <x v="0"/>
    <n v="6"/>
    <s v="Telangana"/>
    <s v="Teen"/>
  </r>
  <r>
    <s v="STU-1675"/>
    <n v="23"/>
    <s v="Modern History"/>
    <x v="4"/>
    <n v="8"/>
    <s v="Brainstorming"/>
    <n v="2.91"/>
    <n v="2.81"/>
    <n v="-0.10000000000000009"/>
    <n v="14"/>
    <x v="1"/>
    <n v="8"/>
    <s v="Andhra Pradesh"/>
    <s v="Adult"/>
  </r>
  <r>
    <s v="STU-9558"/>
    <n v="24"/>
    <s v="Biology"/>
    <x v="2"/>
    <n v="6"/>
    <s v="Literature Review"/>
    <n v="2.58"/>
    <n v="2.68"/>
    <n v="0.10000000000000009"/>
    <n v="15"/>
    <x v="0"/>
    <n v="8"/>
    <s v="Punjab"/>
    <s v="Adult"/>
  </r>
  <r>
    <s v="STU-7146"/>
    <n v="19"/>
    <s v="Biology"/>
    <x v="4"/>
    <n v="10"/>
    <s v="Brainstorming"/>
    <n v="3.34"/>
    <n v="3.64"/>
    <n v="0.30000000000000027"/>
    <n v="5"/>
    <x v="1"/>
    <n v="6"/>
    <s v="Odisha"/>
    <s v="Teen"/>
  </r>
  <r>
    <s v="STU-5721"/>
    <n v="25"/>
    <s v="Data Science"/>
    <x v="2"/>
    <n v="3"/>
    <s v="Brainstorming"/>
    <n v="2.84"/>
    <n v="3.14"/>
    <n v="0.30000000000000027"/>
    <n v="7"/>
    <x v="2"/>
    <n v="6"/>
    <s v="Odisha"/>
    <s v="Adult"/>
  </r>
  <r>
    <s v="STU-4158"/>
    <n v="21"/>
    <s v="Biology"/>
    <x v="4"/>
    <n v="7"/>
    <s v="Exam Prep"/>
    <n v="2.67"/>
    <n v="2.97"/>
    <n v="0.30000000000000027"/>
    <n v="15"/>
    <x v="2"/>
    <n v="6"/>
    <s v="Madhya Pradesh"/>
    <s v="Young Adult"/>
  </r>
  <r>
    <s v="STU-8441"/>
    <n v="18"/>
    <s v="Fine Arts"/>
    <x v="0"/>
    <n v="5"/>
    <s v="Brainstorming"/>
    <n v="3.69"/>
    <n v="3.79"/>
    <n v="0.10000000000000009"/>
    <n v="6"/>
    <x v="2"/>
    <n v="10"/>
    <s v="Kerala"/>
    <s v="Teen"/>
  </r>
  <r>
    <s v="STU-9127"/>
    <n v="19"/>
    <s v="Business Administration"/>
    <x v="4"/>
    <n v="8"/>
    <s v="Brainstorming"/>
    <n v="3.4"/>
    <n v="3.4"/>
    <n v="0"/>
    <n v="13"/>
    <x v="1"/>
    <n v="7"/>
    <s v="Delhi"/>
    <s v="Teen"/>
  </r>
  <r>
    <s v="STU-7587"/>
    <n v="21"/>
    <s v="Fine Arts"/>
    <x v="1"/>
    <n v="2"/>
    <s v="Literature Review"/>
    <n v="2.92"/>
    <n v="2.82"/>
    <n v="-0.10000000000000009"/>
    <n v="13"/>
    <x v="2"/>
    <n v="5"/>
    <s v="Madhya Pradesh"/>
    <s v="Young Adult"/>
  </r>
  <r>
    <s v="STU-3332"/>
    <n v="18"/>
    <s v="Data Science"/>
    <x v="2"/>
    <n v="1"/>
    <s v="Literature Review"/>
    <n v="2.75"/>
    <n v="2.65"/>
    <n v="-0.10000000000000009"/>
    <n v="14"/>
    <x v="1"/>
    <n v="3"/>
    <s v="Maharashtra"/>
    <s v="Teen"/>
  </r>
  <r>
    <s v="STU-9454"/>
    <n v="22"/>
    <s v="Software Engineering"/>
    <x v="3"/>
    <n v="10"/>
    <s v="Exam Prep"/>
    <n v="3.08"/>
    <n v="3.18"/>
    <n v="0.10000000000000009"/>
    <n v="7"/>
    <x v="1"/>
    <n v="5"/>
    <s v="Maharashtra"/>
    <s v="Young Adult"/>
  </r>
  <r>
    <s v="STU-0589"/>
    <n v="22"/>
    <s v="Business Administration"/>
    <x v="2"/>
    <n v="3"/>
    <s v="Exam Prep"/>
    <n v="3.55"/>
    <n v="3.55"/>
    <n v="0"/>
    <n v="11"/>
    <x v="0"/>
    <n v="7"/>
    <s v="Karnataka"/>
    <s v="Young Adult"/>
  </r>
  <r>
    <s v="STU-8427"/>
    <n v="23"/>
    <s v="Data Science"/>
    <x v="1"/>
    <n v="9"/>
    <s v="Brainstorming"/>
    <n v="3.4"/>
    <n v="3.6"/>
    <n v="0.20000000000000018"/>
    <n v="7"/>
    <x v="1"/>
    <n v="6"/>
    <s v="Madhya Pradesh"/>
    <s v="Adult"/>
  </r>
  <r>
    <s v="STU-8187"/>
    <n v="18"/>
    <s v="Data Science"/>
    <x v="1"/>
    <n v="7"/>
    <s v="Exam Prep"/>
    <n v="3.76"/>
    <n v="3.66"/>
    <n v="-9.9999999999999645E-2"/>
    <n v="12"/>
    <x v="1"/>
    <n v="3"/>
    <s v="Odisha"/>
    <s v="Teen"/>
  </r>
  <r>
    <s v="STU-8567"/>
    <n v="23"/>
    <s v="Data Science"/>
    <x v="3"/>
    <n v="9"/>
    <s v="Code Debugging"/>
    <n v="3.25"/>
    <n v="3.35"/>
    <n v="0.10000000000000009"/>
    <n v="4"/>
    <x v="2"/>
    <n v="10"/>
    <s v="Gujarat"/>
    <s v="Adult"/>
  </r>
  <r>
    <s v="STU-4966"/>
    <n v="24"/>
    <s v="Biology"/>
    <x v="1"/>
    <n v="1"/>
    <s v="Exam Prep"/>
    <n v="3.6"/>
    <n v="3.7"/>
    <n v="0.10000000000000009"/>
    <n v="2"/>
    <x v="2"/>
    <n v="5"/>
    <s v="Gujarat"/>
    <s v="Adult"/>
  </r>
  <r>
    <s v="STU-7730"/>
    <n v="19"/>
    <s v="Biology"/>
    <x v="0"/>
    <n v="8"/>
    <s v="Brainstorming"/>
    <n v="3.67"/>
    <n v="3.87"/>
    <n v="0.20000000000000018"/>
    <n v="4"/>
    <x v="1"/>
    <n v="1"/>
    <s v="Odisha"/>
    <s v="Teen"/>
  </r>
  <r>
    <s v="STU-3262"/>
    <n v="19"/>
    <s v="Data Science"/>
    <x v="4"/>
    <n v="4"/>
    <s v="Essay Drafting"/>
    <n v="2.64"/>
    <n v="2.84"/>
    <n v="0.19999999999999973"/>
    <n v="4"/>
    <x v="1"/>
    <n v="7"/>
    <s v="Rajasthan"/>
    <s v="Teen"/>
  </r>
  <r>
    <s v="STU-2531"/>
    <n v="22"/>
    <s v="Business Administration"/>
    <x v="1"/>
    <n v="1"/>
    <s v="Literature Review"/>
    <n v="3.78"/>
    <n v="4"/>
    <n v="0.2200000000000002"/>
    <n v="15"/>
    <x v="1"/>
    <n v="8"/>
    <s v="Andhra Pradesh"/>
    <s v="Young Adult"/>
  </r>
  <r>
    <s v="STU-4537"/>
    <n v="23"/>
    <s v="Business Administration"/>
    <x v="2"/>
    <n v="4"/>
    <s v="Exam Prep"/>
    <n v="3.71"/>
    <n v="3.81"/>
    <n v="0.10000000000000009"/>
    <n v="6"/>
    <x v="2"/>
    <n v="3"/>
    <s v="Maharashtra"/>
    <s v="Adult"/>
  </r>
  <r>
    <s v="STU-5987"/>
    <n v="19"/>
    <s v="Biology"/>
    <x v="4"/>
    <n v="4"/>
    <s v="Essay Drafting"/>
    <n v="3.93"/>
    <n v="4"/>
    <n v="6.999999999999984E-2"/>
    <n v="13"/>
    <x v="0"/>
    <n v="10"/>
    <s v="Punjab"/>
    <s v="Teen"/>
  </r>
  <r>
    <s v="STU-1871"/>
    <n v="25"/>
    <s v="Fine Arts"/>
    <x v="1"/>
    <n v="9"/>
    <s v="Code Debugging"/>
    <n v="2.65"/>
    <n v="2.85"/>
    <n v="0.20000000000000018"/>
    <n v="8"/>
    <x v="2"/>
    <n v="10"/>
    <s v="Punjab"/>
    <s v="Adult"/>
  </r>
  <r>
    <s v="STU-5071"/>
    <n v="18"/>
    <s v="Modern History"/>
    <x v="4"/>
    <n v="3"/>
    <s v="Brainstorming"/>
    <n v="3.89"/>
    <n v="3.89"/>
    <n v="0"/>
    <n v="4"/>
    <x v="2"/>
    <n v="4"/>
    <s v="Kerala"/>
    <s v="Teen"/>
  </r>
  <r>
    <s v="STU-4196"/>
    <n v="23"/>
    <s v="Software Engineering"/>
    <x v="3"/>
    <n v="3"/>
    <s v="Essay Drafting"/>
    <n v="3.27"/>
    <n v="3.57"/>
    <n v="0.29999999999999982"/>
    <n v="8"/>
    <x v="2"/>
    <n v="6"/>
    <s v="Delhi"/>
    <s v="Adult"/>
  </r>
  <r>
    <s v="STU-8218"/>
    <n v="23"/>
    <s v="Business Administration"/>
    <x v="4"/>
    <n v="8"/>
    <s v="Exam Prep"/>
    <n v="3.28"/>
    <n v="3.28"/>
    <n v="0"/>
    <n v="7"/>
    <x v="2"/>
    <n v="3"/>
    <s v="Punjab"/>
    <s v="Adult"/>
  </r>
  <r>
    <s v="STU-5691"/>
    <n v="20"/>
    <s v="Data Science"/>
    <x v="4"/>
    <n v="10"/>
    <s v="Exam Prep"/>
    <n v="3.01"/>
    <n v="3.01"/>
    <n v="0"/>
    <n v="5"/>
    <x v="2"/>
    <n v="2"/>
    <s v="Telangana"/>
    <s v="Young Adult"/>
  </r>
  <r>
    <s v="STU-3259"/>
    <n v="21"/>
    <s v="Fine Arts"/>
    <x v="3"/>
    <n v="6"/>
    <s v="Exam Prep"/>
    <n v="2.62"/>
    <n v="2.62"/>
    <n v="0"/>
    <n v="5"/>
    <x v="2"/>
    <n v="4"/>
    <s v="Gujarat"/>
    <s v="Young Adult"/>
  </r>
  <r>
    <s v="STU-1410"/>
    <n v="22"/>
    <s v="Fine Arts"/>
    <x v="1"/>
    <n v="4"/>
    <s v="Brainstorming"/>
    <n v="2.5299999999999998"/>
    <n v="2.63"/>
    <n v="0.10000000000000009"/>
    <n v="13"/>
    <x v="2"/>
    <n v="6"/>
    <s v="West Bengal"/>
    <s v="Young Adult"/>
  </r>
  <r>
    <s v="STU-0085"/>
    <n v="20"/>
    <s v="Business Administration"/>
    <x v="4"/>
    <n v="7"/>
    <s v="Exam Prep"/>
    <n v="3.11"/>
    <n v="3.01"/>
    <n v="-0.10000000000000009"/>
    <n v="5"/>
    <x v="2"/>
    <n v="3"/>
    <s v="Karnataka"/>
    <s v="Young Adult"/>
  </r>
  <r>
    <s v="STU-4290"/>
    <n v="22"/>
    <s v="Business Administration"/>
    <x v="2"/>
    <n v="6"/>
    <s v="Exam Prep"/>
    <n v="3.61"/>
    <n v="3.51"/>
    <n v="-0.10000000000000009"/>
    <n v="4"/>
    <x v="2"/>
    <n v="4"/>
    <s v="Karnataka"/>
    <s v="Young Adult"/>
  </r>
  <r>
    <s v="STU-6475"/>
    <n v="21"/>
    <s v="Data Science"/>
    <x v="2"/>
    <n v="1"/>
    <s v="Brainstorming"/>
    <n v="3.78"/>
    <n v="3.68"/>
    <n v="-9.9999999999999645E-2"/>
    <n v="4"/>
    <x v="0"/>
    <n v="1"/>
    <s v="Andhra Pradesh"/>
    <s v="Young Adult"/>
  </r>
  <r>
    <s v="STU-8451"/>
    <n v="24"/>
    <s v="Biology"/>
    <x v="3"/>
    <n v="5"/>
    <s v="Code Debugging"/>
    <n v="3.49"/>
    <n v="3.49"/>
    <n v="0"/>
    <n v="5"/>
    <x v="1"/>
    <n v="3"/>
    <s v="Odisha"/>
    <s v="Adult"/>
  </r>
  <r>
    <s v="STU-3118"/>
    <n v="23"/>
    <s v="Fine Arts"/>
    <x v="3"/>
    <n v="6"/>
    <s v="Brainstorming"/>
    <n v="2.76"/>
    <n v="2.66"/>
    <n v="-9.9999999999999645E-2"/>
    <n v="7"/>
    <x v="2"/>
    <n v="10"/>
    <s v="Maharashtra"/>
    <s v="Adult"/>
  </r>
  <r>
    <s v="STU-8330"/>
    <n v="25"/>
    <s v="Fine Arts"/>
    <x v="0"/>
    <n v="1"/>
    <s v="Code Debugging"/>
    <n v="2.91"/>
    <n v="2.81"/>
    <n v="-0.10000000000000009"/>
    <n v="11"/>
    <x v="1"/>
    <n v="8"/>
    <s v="Karnataka"/>
    <s v="Adult"/>
  </r>
  <r>
    <s v="STU-7507"/>
    <n v="21"/>
    <s v="Fine Arts"/>
    <x v="4"/>
    <n v="9"/>
    <s v="Essay Drafting"/>
    <n v="2.84"/>
    <n v="3.04"/>
    <n v="0.20000000000000018"/>
    <n v="10"/>
    <x v="0"/>
    <n v="7"/>
    <s v="Punjab"/>
    <s v="Young Adult"/>
  </r>
  <r>
    <s v="STU-1136"/>
    <n v="21"/>
    <s v="Biology"/>
    <x v="0"/>
    <n v="10"/>
    <s v="Exam Prep"/>
    <n v="2.67"/>
    <n v="2.87"/>
    <n v="0.20000000000000018"/>
    <n v="14"/>
    <x v="1"/>
    <n v="8"/>
    <s v="Odisha"/>
    <s v="Young Adult"/>
  </r>
  <r>
    <s v="STU-5002"/>
    <n v="20"/>
    <s v="Software Engineering"/>
    <x v="3"/>
    <n v="3"/>
    <s v="Brainstorming"/>
    <n v="3.46"/>
    <n v="3.46"/>
    <n v="0"/>
    <n v="9"/>
    <x v="2"/>
    <n v="4"/>
    <s v="Haryana"/>
    <s v="Young Adult"/>
  </r>
  <r>
    <s v="STU-3328"/>
    <n v="19"/>
    <s v="Software Engineering"/>
    <x v="0"/>
    <n v="4"/>
    <s v="Exam Prep"/>
    <n v="3.6"/>
    <n v="3.9"/>
    <n v="0.29999999999999982"/>
    <n v="12"/>
    <x v="1"/>
    <n v="5"/>
    <s v="Odisha"/>
    <s v="Teen"/>
  </r>
  <r>
    <s v="STU-9212"/>
    <n v="23"/>
    <s v="Biology"/>
    <x v="2"/>
    <n v="9"/>
    <s v="Exam Prep"/>
    <n v="3.57"/>
    <n v="3.87"/>
    <n v="0.30000000000000027"/>
    <n v="13"/>
    <x v="0"/>
    <n v="6"/>
    <s v="West Bengal"/>
    <s v="Adult"/>
  </r>
  <r>
    <s v="STU-3061"/>
    <n v="23"/>
    <s v="Biology"/>
    <x v="0"/>
    <n v="3"/>
    <s v="Essay Drafting"/>
    <n v="2.98"/>
    <n v="3.28"/>
    <n v="0.29999999999999982"/>
    <n v="12"/>
    <x v="2"/>
    <n v="1"/>
    <s v="Delhi"/>
    <s v="Adult"/>
  </r>
  <r>
    <s v="STU-6425"/>
    <n v="25"/>
    <s v="Data Science"/>
    <x v="1"/>
    <n v="7"/>
    <s v="Code Debugging"/>
    <n v="3.17"/>
    <n v="3.47"/>
    <n v="0.30000000000000027"/>
    <n v="2"/>
    <x v="1"/>
    <n v="7"/>
    <s v="West Bengal"/>
    <s v="Adult"/>
  </r>
  <r>
    <s v="STU-8111"/>
    <n v="21"/>
    <s v="Modern History"/>
    <x v="4"/>
    <n v="3"/>
    <s v="Code Debugging"/>
    <n v="3.94"/>
    <n v="4"/>
    <n v="6.0000000000000053E-2"/>
    <n v="2"/>
    <x v="2"/>
    <n v="1"/>
    <s v="Tamil Nadu"/>
    <s v="Young Adult"/>
  </r>
  <r>
    <s v="STU-2586"/>
    <n v="25"/>
    <s v="Modern History"/>
    <x v="3"/>
    <n v="3"/>
    <s v="Literature Review"/>
    <n v="3.8"/>
    <n v="3.8"/>
    <n v="0"/>
    <n v="14"/>
    <x v="2"/>
    <n v="2"/>
    <s v="Madhya Pradesh"/>
    <s v="Adult"/>
  </r>
  <r>
    <s v="STU-2579"/>
    <n v="22"/>
    <s v="Business Administration"/>
    <x v="2"/>
    <n v="4"/>
    <s v="Literature Review"/>
    <n v="3.27"/>
    <n v="3.17"/>
    <n v="-0.10000000000000009"/>
    <n v="2"/>
    <x v="1"/>
    <n v="5"/>
    <s v="Punjab"/>
    <s v="Young Adult"/>
  </r>
  <r>
    <s v="STU-1926"/>
    <n v="24"/>
    <s v="Business Administration"/>
    <x v="3"/>
    <n v="7"/>
    <s v="Code Debugging"/>
    <n v="2.65"/>
    <n v="2.95"/>
    <n v="0.30000000000000027"/>
    <n v="5"/>
    <x v="0"/>
    <n v="6"/>
    <s v="Rajasthan"/>
    <s v="Adult"/>
  </r>
  <r>
    <s v="STU-8537"/>
    <n v="24"/>
    <s v="Business Administration"/>
    <x v="3"/>
    <n v="7"/>
    <s v="Literature Review"/>
    <n v="2.74"/>
    <n v="2.84"/>
    <n v="9.9999999999999645E-2"/>
    <n v="8"/>
    <x v="0"/>
    <n v="5"/>
    <s v="Kerala"/>
    <s v="Adult"/>
  </r>
  <r>
    <s v="STU-7121"/>
    <n v="22"/>
    <s v="Modern History"/>
    <x v="0"/>
    <n v="5"/>
    <s v="Essay Drafting"/>
    <n v="3.49"/>
    <n v="3.59"/>
    <n v="9.9999999999999645E-2"/>
    <n v="15"/>
    <x v="0"/>
    <n v="6"/>
    <s v="Andhra Pradesh"/>
    <s v="Young Adult"/>
  </r>
  <r>
    <s v="STU-1158"/>
    <n v="23"/>
    <s v="Fine Arts"/>
    <x v="4"/>
    <n v="4"/>
    <s v="Essay Drafting"/>
    <n v="3.53"/>
    <n v="3.53"/>
    <n v="0"/>
    <n v="13"/>
    <x v="2"/>
    <n v="7"/>
    <s v="Punjab"/>
    <s v="Adult"/>
  </r>
  <r>
    <s v="STU-7842"/>
    <n v="21"/>
    <s v="Modern History"/>
    <x v="1"/>
    <n v="1"/>
    <s v="Literature Review"/>
    <n v="3.23"/>
    <n v="3.53"/>
    <n v="0.29999999999999982"/>
    <n v="10"/>
    <x v="0"/>
    <n v="7"/>
    <s v="Kerala"/>
    <s v="Young Adult"/>
  </r>
  <r>
    <s v="STU-3822"/>
    <n v="21"/>
    <s v="Data Science"/>
    <x v="1"/>
    <n v="4"/>
    <s v="Exam Prep"/>
    <n v="3.28"/>
    <n v="3.58"/>
    <n v="0.30000000000000027"/>
    <n v="3"/>
    <x v="0"/>
    <n v="1"/>
    <s v="Bihar"/>
    <s v="Young Adult"/>
  </r>
  <r>
    <s v="STU-5346"/>
    <n v="22"/>
    <s v="Software Engineering"/>
    <x v="1"/>
    <n v="5"/>
    <s v="Essay Drafting"/>
    <n v="3.31"/>
    <n v="3.61"/>
    <n v="0.29999999999999982"/>
    <n v="2"/>
    <x v="2"/>
    <n v="3"/>
    <s v="Madhya Pradesh"/>
    <s v="Young Adult"/>
  </r>
  <r>
    <s v="STU-9187"/>
    <n v="19"/>
    <s v="Biology"/>
    <x v="0"/>
    <n v="1"/>
    <s v="Exam Prep"/>
    <n v="3.71"/>
    <n v="3.61"/>
    <n v="-0.10000000000000009"/>
    <n v="14"/>
    <x v="0"/>
    <n v="9"/>
    <s v="Kerala"/>
    <s v="Teen"/>
  </r>
  <r>
    <s v="STU-5623"/>
    <n v="19"/>
    <s v="Data Science"/>
    <x v="1"/>
    <n v="8"/>
    <s v="Literature Review"/>
    <n v="3.32"/>
    <n v="3.42"/>
    <n v="0.10000000000000009"/>
    <n v="6"/>
    <x v="2"/>
    <n v="6"/>
    <s v="West Bengal"/>
    <s v="Teen"/>
  </r>
  <r>
    <s v="STU-1571"/>
    <n v="20"/>
    <s v="Business Administration"/>
    <x v="4"/>
    <n v="6"/>
    <s v="Essay Drafting"/>
    <n v="3.08"/>
    <n v="3.08"/>
    <n v="0"/>
    <n v="14"/>
    <x v="2"/>
    <n v="10"/>
    <s v="Maharashtra"/>
    <s v="Young Adult"/>
  </r>
  <r>
    <s v="STU-8897"/>
    <n v="22"/>
    <s v="Biology"/>
    <x v="2"/>
    <n v="1"/>
    <s v="Brainstorming"/>
    <n v="3.76"/>
    <n v="3.66"/>
    <n v="-9.9999999999999645E-2"/>
    <n v="12"/>
    <x v="1"/>
    <n v="7"/>
    <s v="West Bengal"/>
    <s v="Young Adult"/>
  </r>
  <r>
    <s v="STU-5760"/>
    <n v="21"/>
    <s v="Data Science"/>
    <x v="1"/>
    <n v="8"/>
    <s v="Exam Prep"/>
    <n v="2.84"/>
    <n v="2.94"/>
    <n v="0.10000000000000009"/>
    <n v="9"/>
    <x v="1"/>
    <n v="6"/>
    <s v="Kerala"/>
    <s v="Young Adult"/>
  </r>
  <r>
    <s v="STU-9648"/>
    <n v="21"/>
    <s v="Biology"/>
    <x v="2"/>
    <n v="3"/>
    <s v="Code Debugging"/>
    <n v="3.78"/>
    <n v="4"/>
    <n v="0.2200000000000002"/>
    <n v="4"/>
    <x v="1"/>
    <n v="3"/>
    <s v="Bihar"/>
    <s v="Young Adult"/>
  </r>
  <r>
    <s v="STU-1099"/>
    <n v="25"/>
    <s v="Business Administration"/>
    <x v="0"/>
    <n v="1"/>
    <s v="Brainstorming"/>
    <n v="3.92"/>
    <n v="3.82"/>
    <n v="-0.10000000000000009"/>
    <n v="2"/>
    <x v="0"/>
    <n v="6"/>
    <s v="Bihar"/>
    <s v="Adult"/>
  </r>
  <r>
    <s v="STU-6040"/>
    <n v="20"/>
    <s v="Biology"/>
    <x v="2"/>
    <n v="2"/>
    <s v="Literature Review"/>
    <n v="2.65"/>
    <n v="2.75"/>
    <n v="0.10000000000000009"/>
    <n v="12"/>
    <x v="0"/>
    <n v="4"/>
    <s v="Delhi"/>
    <s v="Young Adult"/>
  </r>
  <r>
    <s v="STU-3504"/>
    <n v="19"/>
    <s v="Software Engineering"/>
    <x v="0"/>
    <n v="6"/>
    <s v="Code Debugging"/>
    <n v="3.88"/>
    <n v="3.88"/>
    <n v="0"/>
    <n v="3"/>
    <x v="2"/>
    <n v="2"/>
    <s v="Haryana"/>
    <s v="Teen"/>
  </r>
  <r>
    <s v="STU-5452"/>
    <n v="22"/>
    <s v="Business Administration"/>
    <x v="4"/>
    <n v="9"/>
    <s v="Exam Prep"/>
    <n v="3.74"/>
    <n v="3.64"/>
    <n v="-0.10000000000000009"/>
    <n v="14"/>
    <x v="0"/>
    <n v="10"/>
    <s v="Madhya Pradesh"/>
    <s v="Young Adult"/>
  </r>
  <r>
    <s v="STU-2968"/>
    <n v="20"/>
    <s v="Data Science"/>
    <x v="2"/>
    <n v="4"/>
    <s v="Brainstorming"/>
    <n v="3.02"/>
    <n v="2.92"/>
    <n v="-0.10000000000000009"/>
    <n v="7"/>
    <x v="2"/>
    <n v="6"/>
    <s v="Madhya Pradesh"/>
    <s v="Young Adult"/>
  </r>
  <r>
    <s v="STU-7617"/>
    <n v="23"/>
    <s v="Fine Arts"/>
    <x v="0"/>
    <n v="10"/>
    <s v="Brainstorming"/>
    <n v="3.24"/>
    <n v="3.14"/>
    <n v="-0.10000000000000009"/>
    <n v="7"/>
    <x v="0"/>
    <n v="6"/>
    <s v="Tamil Nadu"/>
    <s v="Adult"/>
  </r>
  <r>
    <s v="STU-3817"/>
    <n v="24"/>
    <s v="Data Science"/>
    <x v="1"/>
    <n v="9"/>
    <s v="Code Debugging"/>
    <n v="2.75"/>
    <n v="2.65"/>
    <n v="-0.10000000000000009"/>
    <n v="2"/>
    <x v="1"/>
    <n v="5"/>
    <s v="Odisha"/>
    <s v="Adult"/>
  </r>
  <r>
    <s v="STU-6924"/>
    <n v="24"/>
    <s v="Business Administration"/>
    <x v="2"/>
    <n v="9"/>
    <s v="Code Debugging"/>
    <n v="3.31"/>
    <n v="3.41"/>
    <n v="0.10000000000000009"/>
    <n v="5"/>
    <x v="0"/>
    <n v="3"/>
    <s v="Bihar"/>
    <s v="Adult"/>
  </r>
  <r>
    <s v="STU-8271"/>
    <n v="19"/>
    <s v="Biology"/>
    <x v="3"/>
    <n v="4"/>
    <s v="Brainstorming"/>
    <n v="2.77"/>
    <n v="2.87"/>
    <n v="0.10000000000000009"/>
    <n v="14"/>
    <x v="1"/>
    <n v="4"/>
    <s v="Odisha"/>
    <s v="Teen"/>
  </r>
  <r>
    <s v="STU-4360"/>
    <n v="22"/>
    <s v="Business Administration"/>
    <x v="0"/>
    <n v="4"/>
    <s v="Essay Drafting"/>
    <n v="3.36"/>
    <n v="3.66"/>
    <n v="0.30000000000000027"/>
    <n v="2"/>
    <x v="1"/>
    <n v="2"/>
    <s v="Rajasthan"/>
    <s v="Young Adult"/>
  </r>
  <r>
    <s v="STU-4382"/>
    <n v="21"/>
    <s v="Biology"/>
    <x v="0"/>
    <n v="9"/>
    <s v="Code Debugging"/>
    <n v="3.99"/>
    <n v="4"/>
    <n v="9.9999999999997868E-3"/>
    <n v="9"/>
    <x v="0"/>
    <n v="2"/>
    <s v="Andhra Pradesh"/>
    <s v="Young Adult"/>
  </r>
  <r>
    <s v="STU-5215"/>
    <n v="22"/>
    <s v="Modern History"/>
    <x v="3"/>
    <n v="3"/>
    <s v="Literature Review"/>
    <n v="3.39"/>
    <n v="3.29"/>
    <n v="-0.10000000000000009"/>
    <n v="2"/>
    <x v="0"/>
    <n v="10"/>
    <s v="Karnataka"/>
    <s v="Young Adult"/>
  </r>
  <r>
    <s v="STU-9411"/>
    <n v="22"/>
    <s v="Software Engineering"/>
    <x v="2"/>
    <n v="6"/>
    <s v="Literature Review"/>
    <n v="3.5"/>
    <n v="3.5"/>
    <n v="0"/>
    <n v="9"/>
    <x v="1"/>
    <n v="9"/>
    <s v="Telangana"/>
    <s v="Young Adult"/>
  </r>
  <r>
    <s v="STU-0493"/>
    <n v="18"/>
    <s v="Data Science"/>
    <x v="3"/>
    <n v="3"/>
    <s v="Brainstorming"/>
    <n v="2.73"/>
    <n v="2.83"/>
    <n v="0.10000000000000009"/>
    <n v="3"/>
    <x v="0"/>
    <n v="6"/>
    <s v="Bihar"/>
    <s v="Teen"/>
  </r>
  <r>
    <s v="STU-8809"/>
    <n v="24"/>
    <s v="Data Science"/>
    <x v="0"/>
    <n v="9"/>
    <s v="Essay Drafting"/>
    <n v="2.5299999999999998"/>
    <n v="2.4300000000000002"/>
    <n v="-9.9999999999999645E-2"/>
    <n v="13"/>
    <x v="2"/>
    <n v="1"/>
    <s v="Andhra Pradesh"/>
    <s v="Adult"/>
  </r>
  <r>
    <s v="STU-2544"/>
    <n v="23"/>
    <s v="Modern History"/>
    <x v="1"/>
    <n v="10"/>
    <s v="Exam Prep"/>
    <n v="3.49"/>
    <n v="3.39"/>
    <n v="-0.10000000000000009"/>
    <n v="7"/>
    <x v="2"/>
    <n v="9"/>
    <s v="Bihar"/>
    <s v="Adult"/>
  </r>
  <r>
    <s v="STU-2618"/>
    <n v="20"/>
    <s v="Data Science"/>
    <x v="2"/>
    <n v="2"/>
    <s v="Literature Review"/>
    <n v="2.5099999999999998"/>
    <n v="2.5099999999999998"/>
    <n v="0"/>
    <n v="11"/>
    <x v="1"/>
    <n v="4"/>
    <s v="Gujarat"/>
    <s v="Young Adult"/>
  </r>
  <r>
    <s v="STU-5127"/>
    <n v="24"/>
    <s v="Fine Arts"/>
    <x v="1"/>
    <n v="8"/>
    <s v="Literature Review"/>
    <n v="3.89"/>
    <n v="3.89"/>
    <n v="0"/>
    <n v="8"/>
    <x v="1"/>
    <n v="6"/>
    <s v="Delhi"/>
    <s v="Adult"/>
  </r>
  <r>
    <s v="STU-9746"/>
    <n v="21"/>
    <s v="Data Science"/>
    <x v="2"/>
    <n v="6"/>
    <s v="Essay Drafting"/>
    <n v="3.31"/>
    <n v="3.21"/>
    <n v="-0.10000000000000009"/>
    <n v="13"/>
    <x v="2"/>
    <n v="6"/>
    <s v="Haryana"/>
    <s v="Young Adult"/>
  </r>
  <r>
    <s v="STU-3107"/>
    <n v="22"/>
    <s v="Data Science"/>
    <x v="0"/>
    <n v="9"/>
    <s v="Essay Drafting"/>
    <n v="3.66"/>
    <n v="3.76"/>
    <n v="9.9999999999999645E-2"/>
    <n v="4"/>
    <x v="2"/>
    <n v="9"/>
    <s v="Gujarat"/>
    <s v="Young Adult"/>
  </r>
  <r>
    <s v="STU-4389"/>
    <n v="24"/>
    <s v="Modern History"/>
    <x v="4"/>
    <n v="1"/>
    <s v="Literature Review"/>
    <n v="2.67"/>
    <n v="2.77"/>
    <n v="0.10000000000000009"/>
    <n v="6"/>
    <x v="2"/>
    <n v="5"/>
    <s v="Punjab"/>
    <s v="Adult"/>
  </r>
  <r>
    <s v="STU-6252"/>
    <n v="22"/>
    <s v="Fine Arts"/>
    <x v="1"/>
    <n v="5"/>
    <s v="Brainstorming"/>
    <n v="3.7"/>
    <n v="3.7"/>
    <n v="0"/>
    <n v="2"/>
    <x v="2"/>
    <n v="1"/>
    <s v="Delhi"/>
    <s v="Young Adult"/>
  </r>
  <r>
    <s v="STU-7947"/>
    <n v="23"/>
    <s v="Fine Arts"/>
    <x v="0"/>
    <n v="8"/>
    <s v="Code Debugging"/>
    <n v="3.55"/>
    <n v="3.85"/>
    <n v="0.30000000000000027"/>
    <n v="7"/>
    <x v="1"/>
    <n v="1"/>
    <s v="Odisha"/>
    <s v="Adult"/>
  </r>
  <r>
    <s v="STU-1546"/>
    <n v="20"/>
    <s v="Fine Arts"/>
    <x v="0"/>
    <n v="8"/>
    <s v="Literature Review"/>
    <n v="3.11"/>
    <n v="3.41"/>
    <n v="0.30000000000000027"/>
    <n v="13"/>
    <x v="1"/>
    <n v="1"/>
    <s v="Punjab"/>
    <s v="Young Adult"/>
  </r>
  <r>
    <s v="STU-1266"/>
    <n v="24"/>
    <s v="Software Engineering"/>
    <x v="3"/>
    <n v="1"/>
    <s v="Literature Review"/>
    <n v="2.94"/>
    <n v="3.04"/>
    <n v="0.10000000000000009"/>
    <n v="12"/>
    <x v="1"/>
    <n v="9"/>
    <s v="Bihar"/>
    <s v="Adult"/>
  </r>
  <r>
    <s v="STU-2655"/>
    <n v="22"/>
    <s v="Business Administration"/>
    <x v="2"/>
    <n v="4"/>
    <s v="Essay Drafting"/>
    <n v="2.75"/>
    <n v="3.05"/>
    <n v="0.29999999999999982"/>
    <n v="4"/>
    <x v="0"/>
    <n v="7"/>
    <s v="Maharashtra"/>
    <s v="Young Adult"/>
  </r>
  <r>
    <s v="STU-4589"/>
    <n v="19"/>
    <s v="Business Administration"/>
    <x v="2"/>
    <n v="8"/>
    <s v="Literature Review"/>
    <n v="3.9"/>
    <n v="3.8"/>
    <n v="-0.10000000000000009"/>
    <n v="14"/>
    <x v="2"/>
    <n v="9"/>
    <s v="Gujarat"/>
    <s v="Teen"/>
  </r>
  <r>
    <s v="STU-7270"/>
    <n v="24"/>
    <s v="Business Administration"/>
    <x v="3"/>
    <n v="6"/>
    <s v="Exam Prep"/>
    <n v="2.6"/>
    <n v="2.5"/>
    <n v="-0.10000000000000009"/>
    <n v="15"/>
    <x v="2"/>
    <n v="10"/>
    <s v="Bihar"/>
    <s v="Adult"/>
  </r>
  <r>
    <s v="STU-7134"/>
    <n v="25"/>
    <s v="Modern History"/>
    <x v="2"/>
    <n v="8"/>
    <s v="Essay Drafting"/>
    <n v="3.24"/>
    <n v="3.24"/>
    <n v="0"/>
    <n v="8"/>
    <x v="2"/>
    <n v="9"/>
    <s v="Haryana"/>
    <s v="Adult"/>
  </r>
  <r>
    <s v="STU-1695"/>
    <n v="21"/>
    <s v="Business Administration"/>
    <x v="2"/>
    <n v="2"/>
    <s v="Literature Review"/>
    <n v="3.41"/>
    <n v="3.51"/>
    <n v="9.9999999999999645E-2"/>
    <n v="5"/>
    <x v="2"/>
    <n v="8"/>
    <s v="Tamil Nadu"/>
    <s v="Young Adult"/>
  </r>
  <r>
    <s v="STU-1760"/>
    <n v="18"/>
    <s v="Software Engineering"/>
    <x v="0"/>
    <n v="2"/>
    <s v="Essay Drafting"/>
    <n v="2.54"/>
    <n v="2.74"/>
    <n v="0.20000000000000018"/>
    <n v="11"/>
    <x v="2"/>
    <n v="5"/>
    <s v="Rajasthan"/>
    <s v="Teen"/>
  </r>
  <r>
    <s v="STU-4168"/>
    <n v="23"/>
    <s v="Fine Arts"/>
    <x v="3"/>
    <n v="7"/>
    <s v="Exam Prep"/>
    <n v="2.76"/>
    <n v="2.76"/>
    <n v="0"/>
    <n v="4"/>
    <x v="1"/>
    <n v="4"/>
    <s v="Rajasthan"/>
    <s v="Adult"/>
  </r>
  <r>
    <s v="STU-3357"/>
    <n v="25"/>
    <s v="Data Science"/>
    <x v="3"/>
    <n v="3"/>
    <s v="Essay Drafting"/>
    <n v="3.33"/>
    <n v="3.23"/>
    <n v="-0.10000000000000009"/>
    <n v="3"/>
    <x v="2"/>
    <n v="10"/>
    <s v="Punjab"/>
    <s v="Adult"/>
  </r>
  <r>
    <s v="STU-1687"/>
    <n v="25"/>
    <s v="Biology"/>
    <x v="2"/>
    <n v="5"/>
    <s v="Code Debugging"/>
    <n v="3.91"/>
    <n v="3.81"/>
    <n v="-0.10000000000000009"/>
    <n v="10"/>
    <x v="2"/>
    <n v="5"/>
    <s v="Rajasthan"/>
    <s v="Adult"/>
  </r>
  <r>
    <s v="STU-1949"/>
    <n v="21"/>
    <s v="Fine Arts"/>
    <x v="2"/>
    <n v="6"/>
    <s v="Literature Review"/>
    <n v="3.82"/>
    <n v="4"/>
    <n v="0.18000000000000016"/>
    <n v="9"/>
    <x v="2"/>
    <n v="4"/>
    <s v="Kerala"/>
    <s v="Young Adult"/>
  </r>
  <r>
    <s v="STU-1435"/>
    <n v="24"/>
    <s v="Data Science"/>
    <x v="4"/>
    <n v="8"/>
    <s v="Literature Review"/>
    <n v="2.72"/>
    <n v="3.02"/>
    <n v="0.29999999999999982"/>
    <n v="9"/>
    <x v="0"/>
    <n v="8"/>
    <s v="Karnataka"/>
    <s v="Adult"/>
  </r>
  <r>
    <s v="STU-6495"/>
    <n v="18"/>
    <s v="Fine Arts"/>
    <x v="2"/>
    <n v="10"/>
    <s v="Essay Drafting"/>
    <n v="2.87"/>
    <n v="3.07"/>
    <n v="0.19999999999999973"/>
    <n v="14"/>
    <x v="1"/>
    <n v="6"/>
    <s v="Haryana"/>
    <s v="Teen"/>
  </r>
  <r>
    <s v="STU-6032"/>
    <n v="21"/>
    <s v="Fine Arts"/>
    <x v="2"/>
    <n v="8"/>
    <s v="Exam Prep"/>
    <n v="3.15"/>
    <n v="3.35"/>
    <n v="0.20000000000000018"/>
    <n v="13"/>
    <x v="2"/>
    <n v="2"/>
    <s v="Uttar Pradesh"/>
    <s v="Young Adult"/>
  </r>
  <r>
    <s v="STU-8436"/>
    <n v="21"/>
    <s v="Data Science"/>
    <x v="1"/>
    <n v="9"/>
    <s v="Code Debugging"/>
    <n v="3.19"/>
    <n v="3.29"/>
    <n v="0.10000000000000009"/>
    <n v="5"/>
    <x v="0"/>
    <n v="9"/>
    <s v="Punjab"/>
    <s v="Young Adult"/>
  </r>
  <r>
    <s v="STU-0452"/>
    <n v="20"/>
    <s v="Fine Arts"/>
    <x v="1"/>
    <n v="3"/>
    <s v="Essay Drafting"/>
    <n v="2.66"/>
    <n v="2.96"/>
    <n v="0.29999999999999982"/>
    <n v="9"/>
    <x v="1"/>
    <n v="7"/>
    <s v="Madhya Pradesh"/>
    <s v="Young Adult"/>
  </r>
  <r>
    <s v="STU-9507"/>
    <n v="21"/>
    <s v="Fine Arts"/>
    <x v="2"/>
    <n v="1"/>
    <s v="Essay Drafting"/>
    <n v="3.98"/>
    <n v="3.98"/>
    <n v="0"/>
    <n v="2"/>
    <x v="1"/>
    <n v="7"/>
    <s v="Gujarat"/>
    <s v="Young Adult"/>
  </r>
  <r>
    <s v="STU-2683"/>
    <n v="19"/>
    <s v="Data Science"/>
    <x v="3"/>
    <n v="6"/>
    <s v="Exam Prep"/>
    <n v="3.53"/>
    <n v="3.53"/>
    <n v="0"/>
    <n v="11"/>
    <x v="2"/>
    <n v="2"/>
    <s v="Madhya Pradesh"/>
    <s v="Teen"/>
  </r>
  <r>
    <s v="STU-4320"/>
    <n v="18"/>
    <s v="Software Engineering"/>
    <x v="2"/>
    <n v="9"/>
    <s v="Code Debugging"/>
    <n v="3.49"/>
    <n v="3.49"/>
    <n v="0"/>
    <n v="4"/>
    <x v="2"/>
    <n v="7"/>
    <s v="West Bengal"/>
    <s v="Teen"/>
  </r>
  <r>
    <s v="STU-5299"/>
    <n v="25"/>
    <s v="Biology"/>
    <x v="0"/>
    <n v="1"/>
    <s v="Brainstorming"/>
    <n v="2.72"/>
    <n v="2.92"/>
    <n v="0.19999999999999973"/>
    <n v="4"/>
    <x v="1"/>
    <n v="7"/>
    <s v="Andhra Pradesh"/>
    <s v="Adult"/>
  </r>
  <r>
    <s v="STU-2442"/>
    <n v="25"/>
    <s v="Modern History"/>
    <x v="4"/>
    <n v="10"/>
    <s v="Essay Drafting"/>
    <n v="3.41"/>
    <n v="3.51"/>
    <n v="9.9999999999999645E-2"/>
    <n v="4"/>
    <x v="1"/>
    <n v="4"/>
    <s v="Andhra Pradesh"/>
    <s v="Adult"/>
  </r>
  <r>
    <s v="STU-9880"/>
    <n v="21"/>
    <s v="Modern History"/>
    <x v="3"/>
    <n v="5"/>
    <s v="Code Debugging"/>
    <n v="2.72"/>
    <n v="2.82"/>
    <n v="9.9999999999999645E-2"/>
    <n v="2"/>
    <x v="0"/>
    <n v="6"/>
    <s v="Kerala"/>
    <s v="Young Adult"/>
  </r>
  <r>
    <s v="STU-9478"/>
    <n v="18"/>
    <s v="Software Engineering"/>
    <x v="3"/>
    <n v="4"/>
    <s v="Literature Review"/>
    <n v="3.1"/>
    <n v="3.4"/>
    <n v="0.29999999999999982"/>
    <n v="2"/>
    <x v="0"/>
    <n v="5"/>
    <s v="Gujarat"/>
    <s v="Teen"/>
  </r>
  <r>
    <s v="STU-8223"/>
    <n v="25"/>
    <s v="Fine Arts"/>
    <x v="4"/>
    <n v="2"/>
    <s v="Code Debugging"/>
    <n v="2.69"/>
    <n v="2.69"/>
    <n v="0"/>
    <n v="10"/>
    <x v="2"/>
    <n v="6"/>
    <s v="Kerala"/>
    <s v="Adult"/>
  </r>
  <r>
    <s v="STU-3985"/>
    <n v="21"/>
    <s v="Fine Arts"/>
    <x v="1"/>
    <n v="1"/>
    <s v="Essay Drafting"/>
    <n v="2.62"/>
    <n v="2.62"/>
    <n v="0"/>
    <n v="12"/>
    <x v="0"/>
    <n v="6"/>
    <s v="Rajasthan"/>
    <s v="Young Adult"/>
  </r>
  <r>
    <s v="STU-9159"/>
    <n v="22"/>
    <s v="Data Science"/>
    <x v="4"/>
    <n v="5"/>
    <s v="Code Debugging"/>
    <n v="3.94"/>
    <n v="3.84"/>
    <n v="-0.10000000000000009"/>
    <n v="9"/>
    <x v="2"/>
    <n v="2"/>
    <s v="Rajasthan"/>
    <s v="Young Adult"/>
  </r>
  <r>
    <s v="STU-8117"/>
    <n v="19"/>
    <s v="Data Science"/>
    <x v="0"/>
    <n v="5"/>
    <s v="Exam Prep"/>
    <n v="3.63"/>
    <n v="3.63"/>
    <n v="0"/>
    <n v="9"/>
    <x v="0"/>
    <n v="8"/>
    <s v="West Bengal"/>
    <s v="Teen"/>
  </r>
  <r>
    <s v="STU-1174"/>
    <n v="24"/>
    <s v="Fine Arts"/>
    <x v="1"/>
    <n v="7"/>
    <s v="Brainstorming"/>
    <n v="2.85"/>
    <n v="2.95"/>
    <n v="0.10000000000000009"/>
    <n v="2"/>
    <x v="2"/>
    <n v="5"/>
    <s v="Bihar"/>
    <s v="Adult"/>
  </r>
  <r>
    <s v="STU-2119"/>
    <n v="20"/>
    <s v="Business Administration"/>
    <x v="3"/>
    <n v="7"/>
    <s v="Exam Prep"/>
    <n v="2.56"/>
    <n v="2.46"/>
    <n v="-0.10000000000000009"/>
    <n v="9"/>
    <x v="2"/>
    <n v="1"/>
    <s v="Maharashtra"/>
    <s v="Young Adult"/>
  </r>
  <r>
    <s v="STU-7391"/>
    <n v="19"/>
    <s v="Data Science"/>
    <x v="0"/>
    <n v="4"/>
    <s v="Code Debugging"/>
    <n v="3.22"/>
    <n v="3.22"/>
    <n v="0"/>
    <n v="10"/>
    <x v="1"/>
    <n v="3"/>
    <s v="Delhi"/>
    <s v="Teen"/>
  </r>
  <r>
    <s v="STU-8831"/>
    <n v="23"/>
    <s v="Software Engineering"/>
    <x v="1"/>
    <n v="2"/>
    <s v="Code Debugging"/>
    <n v="3.11"/>
    <n v="3.41"/>
    <n v="0.30000000000000027"/>
    <n v="10"/>
    <x v="1"/>
    <n v="4"/>
    <s v="Andhra Pradesh"/>
    <s v="Adult"/>
  </r>
  <r>
    <s v="STU-0369"/>
    <n v="20"/>
    <s v="Fine Arts"/>
    <x v="0"/>
    <n v="2"/>
    <s v="Exam Prep"/>
    <n v="3.76"/>
    <n v="3.66"/>
    <n v="-9.9999999999999645E-2"/>
    <n v="7"/>
    <x v="2"/>
    <n v="2"/>
    <s v="Maharashtra"/>
    <s v="Young Adult"/>
  </r>
  <r>
    <s v="STU-8148"/>
    <n v="18"/>
    <s v="Biology"/>
    <x v="4"/>
    <n v="4"/>
    <s v="Essay Drafting"/>
    <n v="3.48"/>
    <n v="3.48"/>
    <n v="0"/>
    <n v="10"/>
    <x v="2"/>
    <n v="3"/>
    <s v="Madhya Pradesh"/>
    <s v="Teen"/>
  </r>
  <r>
    <s v="STU-2302"/>
    <n v="23"/>
    <s v="Modern History"/>
    <x v="1"/>
    <n v="1"/>
    <s v="Essay Drafting"/>
    <n v="4"/>
    <n v="4"/>
    <n v="0"/>
    <n v="10"/>
    <x v="2"/>
    <n v="4"/>
    <s v="Gujarat"/>
    <s v="Adult"/>
  </r>
  <r>
    <s v="STU-3737"/>
    <n v="25"/>
    <s v="Biology"/>
    <x v="0"/>
    <n v="8"/>
    <s v="Brainstorming"/>
    <n v="3.33"/>
    <n v="3.33"/>
    <n v="0"/>
    <n v="7"/>
    <x v="0"/>
    <n v="4"/>
    <s v="Karnataka"/>
    <s v="Adult"/>
  </r>
  <r>
    <s v="STU-4824"/>
    <n v="25"/>
    <s v="Business Administration"/>
    <x v="3"/>
    <n v="10"/>
    <s v="Literature Review"/>
    <n v="2.56"/>
    <n v="2.46"/>
    <n v="-0.10000000000000009"/>
    <n v="11"/>
    <x v="2"/>
    <n v="6"/>
    <s v="Odisha"/>
    <s v="Adult"/>
  </r>
  <r>
    <s v="STU-8121"/>
    <n v="21"/>
    <s v="Modern History"/>
    <x v="4"/>
    <n v="9"/>
    <s v="Essay Drafting"/>
    <n v="3.82"/>
    <n v="3.72"/>
    <n v="-9.9999999999999645E-2"/>
    <n v="14"/>
    <x v="0"/>
    <n v="3"/>
    <s v="Bihar"/>
    <s v="Young Adult"/>
  </r>
  <r>
    <s v="STU-4137"/>
    <n v="25"/>
    <s v="Business Administration"/>
    <x v="3"/>
    <n v="8"/>
    <s v="Literature Review"/>
    <n v="3.08"/>
    <n v="3.08"/>
    <n v="0"/>
    <n v="7"/>
    <x v="2"/>
    <n v="5"/>
    <s v="Haryana"/>
    <s v="Adult"/>
  </r>
  <r>
    <s v="STU-6017"/>
    <n v="19"/>
    <s v="Data Science"/>
    <x v="1"/>
    <n v="10"/>
    <s v="Exam Prep"/>
    <n v="3.13"/>
    <n v="3.13"/>
    <n v="0"/>
    <n v="8"/>
    <x v="2"/>
    <n v="1"/>
    <s v="Uttar Pradesh"/>
    <s v="Teen"/>
  </r>
  <r>
    <s v="STU-7323"/>
    <n v="25"/>
    <s v="Business Administration"/>
    <x v="1"/>
    <n v="2"/>
    <s v="Literature Review"/>
    <n v="3.5"/>
    <n v="3.5"/>
    <n v="0"/>
    <n v="3"/>
    <x v="2"/>
    <n v="5"/>
    <s v="Maharashtra"/>
    <s v="Adult"/>
  </r>
  <r>
    <s v="STU-7652"/>
    <n v="19"/>
    <s v="Modern History"/>
    <x v="0"/>
    <n v="1"/>
    <s v="Code Debugging"/>
    <n v="3.16"/>
    <n v="3.36"/>
    <n v="0.19999999999999973"/>
    <n v="12"/>
    <x v="2"/>
    <n v="3"/>
    <s v="Delhi"/>
    <s v="Teen"/>
  </r>
  <r>
    <s v="STU-6977"/>
    <n v="19"/>
    <s v="Fine Arts"/>
    <x v="3"/>
    <n v="3"/>
    <s v="Exam Prep"/>
    <n v="3.78"/>
    <n v="3.98"/>
    <n v="0.20000000000000018"/>
    <n v="3"/>
    <x v="0"/>
    <n v="8"/>
    <s v="Bihar"/>
    <s v="Teen"/>
  </r>
  <r>
    <s v="STU-2766"/>
    <n v="20"/>
    <s v="Data Science"/>
    <x v="3"/>
    <n v="2"/>
    <s v="Essay Drafting"/>
    <n v="3.15"/>
    <n v="3.25"/>
    <n v="0.10000000000000009"/>
    <n v="10"/>
    <x v="0"/>
    <n v="7"/>
    <s v="Tamil Nadu"/>
    <s v="Young Adult"/>
  </r>
  <r>
    <s v="STU-2230"/>
    <n v="19"/>
    <s v="Data Science"/>
    <x v="4"/>
    <n v="2"/>
    <s v="Essay Drafting"/>
    <n v="2.76"/>
    <n v="3.06"/>
    <n v="0.30000000000000027"/>
    <n v="12"/>
    <x v="1"/>
    <n v="4"/>
    <s v="Haryana"/>
    <s v="Teen"/>
  </r>
  <r>
    <s v="STU-6557"/>
    <n v="22"/>
    <s v="Biology"/>
    <x v="0"/>
    <n v="2"/>
    <s v="Exam Prep"/>
    <n v="3.92"/>
    <n v="3.82"/>
    <n v="-0.10000000000000009"/>
    <n v="6"/>
    <x v="2"/>
    <n v="9"/>
    <s v="Punjab"/>
    <s v="Young Adult"/>
  </r>
  <r>
    <s v="STU-7692"/>
    <n v="22"/>
    <s v="Fine Arts"/>
    <x v="4"/>
    <n v="5"/>
    <s v="Literature Review"/>
    <n v="3.89"/>
    <n v="3.79"/>
    <n v="-0.10000000000000009"/>
    <n v="2"/>
    <x v="1"/>
    <n v="4"/>
    <s v="Odisha"/>
    <s v="Young Adult"/>
  </r>
  <r>
    <s v="STU-3839"/>
    <n v="18"/>
    <s v="Software Engineering"/>
    <x v="1"/>
    <n v="10"/>
    <s v="Essay Drafting"/>
    <n v="3.53"/>
    <n v="3.63"/>
    <n v="0.10000000000000009"/>
    <n v="7"/>
    <x v="1"/>
    <n v="1"/>
    <s v="Karnataka"/>
    <s v="Teen"/>
  </r>
  <r>
    <s v="STU-0572"/>
    <n v="21"/>
    <s v="Data Science"/>
    <x v="4"/>
    <n v="10"/>
    <s v="Literature Review"/>
    <n v="2.97"/>
    <n v="2.97"/>
    <n v="0"/>
    <n v="11"/>
    <x v="2"/>
    <n v="2"/>
    <s v="Madhya Pradesh"/>
    <s v="Young Adult"/>
  </r>
  <r>
    <s v="STU-3912"/>
    <n v="22"/>
    <s v="Fine Arts"/>
    <x v="1"/>
    <n v="2"/>
    <s v="Brainstorming"/>
    <n v="2.75"/>
    <n v="2.65"/>
    <n v="-0.10000000000000009"/>
    <n v="15"/>
    <x v="1"/>
    <n v="9"/>
    <s v="Odisha"/>
    <s v="Young Adult"/>
  </r>
  <r>
    <s v="STU-6725"/>
    <n v="20"/>
    <s v="Business Administration"/>
    <x v="2"/>
    <n v="3"/>
    <s v="Essay Drafting"/>
    <n v="3.37"/>
    <n v="3.47"/>
    <n v="0.10000000000000009"/>
    <n v="12"/>
    <x v="2"/>
    <n v="9"/>
    <s v="Telangana"/>
    <s v="Young Adult"/>
  </r>
  <r>
    <s v="STU-7668"/>
    <n v="18"/>
    <s v="Business Administration"/>
    <x v="4"/>
    <n v="8"/>
    <s v="Literature Review"/>
    <n v="3.54"/>
    <n v="3.74"/>
    <n v="0.20000000000000018"/>
    <n v="13"/>
    <x v="2"/>
    <n v="3"/>
    <s v="Delhi"/>
    <s v="Teen"/>
  </r>
  <r>
    <s v="STU-9929"/>
    <n v="24"/>
    <s v="Software Engineering"/>
    <x v="0"/>
    <n v="7"/>
    <s v="Brainstorming"/>
    <n v="3.25"/>
    <n v="3.35"/>
    <n v="0.10000000000000009"/>
    <n v="11"/>
    <x v="2"/>
    <n v="7"/>
    <s v="Bihar"/>
    <s v="Adult"/>
  </r>
  <r>
    <s v="STU-8146"/>
    <n v="18"/>
    <s v="Business Administration"/>
    <x v="3"/>
    <n v="2"/>
    <s v="Exam Prep"/>
    <n v="3.17"/>
    <n v="3.37"/>
    <n v="0.20000000000000018"/>
    <n v="5"/>
    <x v="0"/>
    <n v="8"/>
    <s v="Uttar Pradesh"/>
    <s v="Teen"/>
  </r>
  <r>
    <s v="STU-0324"/>
    <n v="18"/>
    <s v="Data Science"/>
    <x v="1"/>
    <n v="7"/>
    <s v="Literature Review"/>
    <n v="3.6"/>
    <n v="3.7"/>
    <n v="0.10000000000000009"/>
    <n v="15"/>
    <x v="0"/>
    <n v="8"/>
    <s v="Andhra Pradesh"/>
    <s v="Teen"/>
  </r>
  <r>
    <s v="STU-5506"/>
    <n v="24"/>
    <s v="Fine Arts"/>
    <x v="1"/>
    <n v="1"/>
    <s v="Literature Review"/>
    <n v="3.22"/>
    <n v="3.42"/>
    <n v="0.19999999999999973"/>
    <n v="9"/>
    <x v="1"/>
    <n v="6"/>
    <s v="Telangana"/>
    <s v="Adult"/>
  </r>
  <r>
    <s v="STU-6004"/>
    <n v="25"/>
    <s v="Data Science"/>
    <x v="4"/>
    <n v="6"/>
    <s v="Literature Review"/>
    <n v="3.84"/>
    <n v="4"/>
    <n v="0.16000000000000014"/>
    <n v="7"/>
    <x v="2"/>
    <n v="8"/>
    <s v="Haryana"/>
    <s v="Adult"/>
  </r>
  <r>
    <s v="STU-4404"/>
    <n v="19"/>
    <s v="Fine Arts"/>
    <x v="0"/>
    <n v="3"/>
    <s v="Essay Drafting"/>
    <n v="3.01"/>
    <n v="2.91"/>
    <n v="-9.9999999999999645E-2"/>
    <n v="2"/>
    <x v="0"/>
    <n v="10"/>
    <s v="Madhya Pradesh"/>
    <s v="Teen"/>
  </r>
  <r>
    <s v="STU-2551"/>
    <n v="21"/>
    <s v="Biology"/>
    <x v="4"/>
    <n v="5"/>
    <s v="Exam Prep"/>
    <n v="3.12"/>
    <n v="3.42"/>
    <n v="0.29999999999999982"/>
    <n v="8"/>
    <x v="0"/>
    <n v="7"/>
    <s v="Haryana"/>
    <s v="Young Adult"/>
  </r>
  <r>
    <s v="STU-6813"/>
    <n v="24"/>
    <s v="Biology"/>
    <x v="2"/>
    <n v="10"/>
    <s v="Brainstorming"/>
    <n v="3.63"/>
    <n v="3.63"/>
    <n v="0"/>
    <n v="10"/>
    <x v="2"/>
    <n v="1"/>
    <s v="Tamil Nadu"/>
    <s v="Adult"/>
  </r>
  <r>
    <s v="STU-0436"/>
    <n v="18"/>
    <s v="Fine Arts"/>
    <x v="2"/>
    <n v="10"/>
    <s v="Literature Review"/>
    <n v="3.92"/>
    <n v="4"/>
    <n v="8.0000000000000071E-2"/>
    <n v="4"/>
    <x v="0"/>
    <n v="9"/>
    <s v="Odisha"/>
    <s v="Teen"/>
  </r>
  <r>
    <s v="STU-0895"/>
    <n v="19"/>
    <s v="Data Science"/>
    <x v="1"/>
    <n v="1"/>
    <s v="Code Debugging"/>
    <n v="3.14"/>
    <n v="3.34"/>
    <n v="0.19999999999999973"/>
    <n v="13"/>
    <x v="2"/>
    <n v="7"/>
    <s v="Bihar"/>
    <s v="Teen"/>
  </r>
  <r>
    <s v="STU-7838"/>
    <n v="24"/>
    <s v="Fine Arts"/>
    <x v="3"/>
    <n v="3"/>
    <s v="Brainstorming"/>
    <n v="3.62"/>
    <n v="3.62"/>
    <n v="0"/>
    <n v="2"/>
    <x v="2"/>
    <n v="9"/>
    <s v="Madhya Pradesh"/>
    <s v="Adult"/>
  </r>
  <r>
    <s v="STU-8029"/>
    <n v="20"/>
    <s v="Software Engineering"/>
    <x v="0"/>
    <n v="10"/>
    <s v="Essay Drafting"/>
    <n v="3.25"/>
    <n v="3.15"/>
    <n v="-0.10000000000000009"/>
    <n v="8"/>
    <x v="2"/>
    <n v="8"/>
    <s v="West Bengal"/>
    <s v="Young Adult"/>
  </r>
  <r>
    <s v="STU-2281"/>
    <n v="18"/>
    <s v="Data Science"/>
    <x v="3"/>
    <n v="1"/>
    <s v="Exam Prep"/>
    <n v="3.4"/>
    <n v="3.5"/>
    <n v="0.10000000000000009"/>
    <n v="4"/>
    <x v="0"/>
    <n v="1"/>
    <s v="Gujarat"/>
    <s v="Teen"/>
  </r>
  <r>
    <s v="STU-6951"/>
    <n v="20"/>
    <s v="Fine Arts"/>
    <x v="3"/>
    <n v="5"/>
    <s v="Brainstorming"/>
    <n v="3.05"/>
    <n v="2.95"/>
    <n v="-9.9999999999999645E-2"/>
    <n v="11"/>
    <x v="1"/>
    <n v="5"/>
    <s v="Delhi"/>
    <s v="Young Adult"/>
  </r>
  <r>
    <s v="STU-4726"/>
    <n v="20"/>
    <s v="Fine Arts"/>
    <x v="1"/>
    <n v="3"/>
    <s v="Essay Drafting"/>
    <n v="3.26"/>
    <n v="3.26"/>
    <n v="0"/>
    <n v="15"/>
    <x v="1"/>
    <n v="3"/>
    <s v="Haryana"/>
    <s v="Young Adult"/>
  </r>
  <r>
    <s v="STU-3525"/>
    <n v="25"/>
    <s v="Modern History"/>
    <x v="1"/>
    <n v="3"/>
    <s v="Literature Review"/>
    <n v="3.36"/>
    <n v="3.26"/>
    <n v="-0.10000000000000009"/>
    <n v="11"/>
    <x v="1"/>
    <n v="4"/>
    <s v="Maharashtra"/>
    <s v="Adult"/>
  </r>
  <r>
    <s v="STU-9742"/>
    <n v="21"/>
    <s v="Data Science"/>
    <x v="0"/>
    <n v="1"/>
    <s v="Exam Prep"/>
    <n v="2.89"/>
    <n v="2.89"/>
    <n v="0"/>
    <n v="13"/>
    <x v="0"/>
    <n v="2"/>
    <s v="West Bengal"/>
    <s v="Young Adult"/>
  </r>
  <r>
    <s v="STU-8833"/>
    <n v="21"/>
    <s v="Fine Arts"/>
    <x v="3"/>
    <n v="9"/>
    <s v="Literature Review"/>
    <n v="2.57"/>
    <n v="2.57"/>
    <n v="0"/>
    <n v="4"/>
    <x v="1"/>
    <n v="10"/>
    <s v="West Bengal"/>
    <s v="Young Adult"/>
  </r>
  <r>
    <s v="STU-9273"/>
    <n v="22"/>
    <s v="Fine Arts"/>
    <x v="1"/>
    <n v="6"/>
    <s v="Literature Review"/>
    <n v="2.71"/>
    <n v="2.91"/>
    <n v="0.20000000000000018"/>
    <n v="6"/>
    <x v="0"/>
    <n v="2"/>
    <s v="Kerala"/>
    <s v="Young Adult"/>
  </r>
  <r>
    <s v="STU-3445"/>
    <n v="22"/>
    <s v="Fine Arts"/>
    <x v="1"/>
    <n v="10"/>
    <s v="Essay Drafting"/>
    <n v="2.96"/>
    <n v="2.96"/>
    <n v="0"/>
    <n v="2"/>
    <x v="1"/>
    <n v="1"/>
    <s v="Punjab"/>
    <s v="Young Adult"/>
  </r>
  <r>
    <s v="STU-1230"/>
    <n v="18"/>
    <s v="Biology"/>
    <x v="3"/>
    <n v="9"/>
    <s v="Exam Prep"/>
    <n v="3.98"/>
    <n v="3.88"/>
    <n v="-0.10000000000000009"/>
    <n v="9"/>
    <x v="0"/>
    <n v="7"/>
    <s v="Delhi"/>
    <s v="Teen"/>
  </r>
  <r>
    <s v="STU-5042"/>
    <n v="21"/>
    <s v="Data Science"/>
    <x v="0"/>
    <n v="8"/>
    <s v="Brainstorming"/>
    <n v="3.88"/>
    <n v="4"/>
    <n v="0.12000000000000011"/>
    <n v="7"/>
    <x v="0"/>
    <n v="10"/>
    <s v="Punjab"/>
    <s v="Young Adult"/>
  </r>
  <r>
    <s v="STU-6232"/>
    <n v="24"/>
    <s v="Biology"/>
    <x v="0"/>
    <n v="1"/>
    <s v="Essay Drafting"/>
    <n v="3.41"/>
    <n v="3.61"/>
    <n v="0.19999999999999973"/>
    <n v="2"/>
    <x v="2"/>
    <n v="7"/>
    <s v="Kerala"/>
    <s v="Adult"/>
  </r>
  <r>
    <s v="STU-3855"/>
    <n v="21"/>
    <s v="Modern History"/>
    <x v="4"/>
    <n v="5"/>
    <s v="Essay Drafting"/>
    <n v="3.74"/>
    <n v="4"/>
    <n v="0.25999999999999979"/>
    <n v="11"/>
    <x v="0"/>
    <n v="3"/>
    <s v="Haryana"/>
    <s v="Young Adult"/>
  </r>
  <r>
    <s v="STU-9210"/>
    <n v="18"/>
    <s v="Business Administration"/>
    <x v="2"/>
    <n v="7"/>
    <s v="Code Debugging"/>
    <n v="3.9"/>
    <n v="4"/>
    <n v="0.10000000000000009"/>
    <n v="12"/>
    <x v="1"/>
    <n v="5"/>
    <s v="Madhya Pradesh"/>
    <s v="Teen"/>
  </r>
  <r>
    <s v="STU-6761"/>
    <n v="19"/>
    <s v="Software Engineering"/>
    <x v="0"/>
    <n v="4"/>
    <s v="Brainstorming"/>
    <n v="2.61"/>
    <n v="2.81"/>
    <n v="0.20000000000000018"/>
    <n v="12"/>
    <x v="0"/>
    <n v="2"/>
    <s v="Tamil Nadu"/>
    <s v="Teen"/>
  </r>
  <r>
    <s v="STU-5885"/>
    <n v="19"/>
    <s v="Software Engineering"/>
    <x v="2"/>
    <n v="2"/>
    <s v="Brainstorming"/>
    <n v="3.28"/>
    <n v="3.48"/>
    <n v="0.20000000000000018"/>
    <n v="10"/>
    <x v="2"/>
    <n v="4"/>
    <s v="Tamil Nadu"/>
    <s v="Teen"/>
  </r>
  <r>
    <s v="STU-6230"/>
    <n v="23"/>
    <s v="Business Administration"/>
    <x v="2"/>
    <n v="9"/>
    <s v="Code Debugging"/>
    <n v="3.59"/>
    <n v="3.79"/>
    <n v="0.20000000000000018"/>
    <n v="14"/>
    <x v="1"/>
    <n v="9"/>
    <s v="Haryana"/>
    <s v="Adult"/>
  </r>
  <r>
    <s v="STU-8968"/>
    <n v="22"/>
    <s v="Business Administration"/>
    <x v="1"/>
    <n v="9"/>
    <s v="Essay Drafting"/>
    <n v="3.01"/>
    <n v="3.21"/>
    <n v="0.20000000000000018"/>
    <n v="9"/>
    <x v="1"/>
    <n v="5"/>
    <s v="Telangana"/>
    <s v="Young Adult"/>
  </r>
  <r>
    <s v="STU-2674"/>
    <n v="24"/>
    <s v="Software Engineering"/>
    <x v="3"/>
    <n v="8"/>
    <s v="Literature Review"/>
    <n v="2.99"/>
    <n v="2.99"/>
    <n v="0"/>
    <n v="5"/>
    <x v="1"/>
    <n v="2"/>
    <s v="Delhi"/>
    <s v="Adult"/>
  </r>
  <r>
    <s v="STU-1954"/>
    <n v="22"/>
    <s v="Modern History"/>
    <x v="0"/>
    <n v="1"/>
    <s v="Brainstorming"/>
    <n v="3.01"/>
    <n v="3.11"/>
    <n v="0.10000000000000009"/>
    <n v="12"/>
    <x v="0"/>
    <n v="4"/>
    <s v="Andhra Pradesh"/>
    <s v="Young Adult"/>
  </r>
  <r>
    <s v="STU-8338"/>
    <n v="22"/>
    <s v="Data Science"/>
    <x v="1"/>
    <n v="10"/>
    <s v="Literature Review"/>
    <n v="2.66"/>
    <n v="2.66"/>
    <n v="0"/>
    <n v="9"/>
    <x v="2"/>
    <n v="5"/>
    <s v="Delhi"/>
    <s v="Young Adult"/>
  </r>
  <r>
    <s v="STU-8259"/>
    <n v="24"/>
    <s v="Business Administration"/>
    <x v="2"/>
    <n v="2"/>
    <s v="Essay Drafting"/>
    <n v="3.63"/>
    <n v="3.83"/>
    <n v="0.20000000000000018"/>
    <n v="15"/>
    <x v="1"/>
    <n v="7"/>
    <s v="Andhra Pradesh"/>
    <s v="Adult"/>
  </r>
  <r>
    <s v="STU-8650"/>
    <n v="18"/>
    <s v="Data Science"/>
    <x v="3"/>
    <n v="4"/>
    <s v="Literature Review"/>
    <n v="3.9"/>
    <n v="4"/>
    <n v="0.10000000000000009"/>
    <n v="6"/>
    <x v="1"/>
    <n v="7"/>
    <s v="Odisha"/>
    <s v="Teen"/>
  </r>
  <r>
    <s v="STU-2518"/>
    <n v="21"/>
    <s v="Software Engineering"/>
    <x v="4"/>
    <n v="10"/>
    <s v="Essay Drafting"/>
    <n v="3.69"/>
    <n v="3.89"/>
    <n v="0.20000000000000018"/>
    <n v="13"/>
    <x v="1"/>
    <n v="10"/>
    <s v="Punjab"/>
    <s v="Young Adult"/>
  </r>
  <r>
    <s v="STU-0134"/>
    <n v="22"/>
    <s v="Business Administration"/>
    <x v="4"/>
    <n v="8"/>
    <s v="Exam Prep"/>
    <n v="3.55"/>
    <n v="3.75"/>
    <n v="0.20000000000000018"/>
    <n v="12"/>
    <x v="1"/>
    <n v="8"/>
    <s v="Haryana"/>
    <s v="Young Adult"/>
  </r>
  <r>
    <s v="STU-6080"/>
    <n v="19"/>
    <s v="Fine Arts"/>
    <x v="1"/>
    <n v="8"/>
    <s v="Brainstorming"/>
    <n v="2.95"/>
    <n v="2.95"/>
    <n v="0"/>
    <n v="8"/>
    <x v="0"/>
    <n v="1"/>
    <s v="Karnataka"/>
    <s v="Teen"/>
  </r>
  <r>
    <s v="STU-9587"/>
    <n v="24"/>
    <s v="Biology"/>
    <x v="3"/>
    <n v="2"/>
    <s v="Code Debugging"/>
    <n v="3.31"/>
    <n v="3.31"/>
    <n v="0"/>
    <n v="7"/>
    <x v="2"/>
    <n v="6"/>
    <s v="Gujarat"/>
    <s v="Adult"/>
  </r>
  <r>
    <s v="STU-7077"/>
    <n v="25"/>
    <s v="Fine Arts"/>
    <x v="0"/>
    <n v="2"/>
    <s v="Brainstorming"/>
    <n v="3.42"/>
    <n v="3.62"/>
    <n v="0.20000000000000018"/>
    <n v="5"/>
    <x v="2"/>
    <n v="3"/>
    <s v="Gujarat"/>
    <s v="Adult"/>
  </r>
  <r>
    <s v="STU-4365"/>
    <n v="21"/>
    <s v="Modern History"/>
    <x v="3"/>
    <n v="4"/>
    <s v="Code Debugging"/>
    <n v="3.32"/>
    <n v="3.62"/>
    <n v="0.30000000000000027"/>
    <n v="9"/>
    <x v="1"/>
    <n v="9"/>
    <s v="Rajasthan"/>
    <s v="Young Adult"/>
  </r>
  <r>
    <s v="STU-9623"/>
    <n v="20"/>
    <s v="Biology"/>
    <x v="3"/>
    <n v="1"/>
    <s v="Essay Drafting"/>
    <n v="3.95"/>
    <n v="4"/>
    <n v="4.9999999999999822E-2"/>
    <n v="12"/>
    <x v="2"/>
    <n v="2"/>
    <s v="Telangana"/>
    <s v="Young Adult"/>
  </r>
  <r>
    <s v="STU-2348"/>
    <n v="21"/>
    <s v="Modern History"/>
    <x v="0"/>
    <n v="2"/>
    <s v="Exam Prep"/>
    <n v="3.12"/>
    <n v="3.02"/>
    <n v="-0.10000000000000009"/>
    <n v="13"/>
    <x v="1"/>
    <n v="1"/>
    <s v="Rajasthan"/>
    <s v="Young Adult"/>
  </r>
  <r>
    <s v="STU-1920"/>
    <n v="21"/>
    <s v="Data Science"/>
    <x v="1"/>
    <n v="2"/>
    <s v="Code Debugging"/>
    <n v="3.66"/>
    <n v="3.86"/>
    <n v="0.19999999999999973"/>
    <n v="15"/>
    <x v="1"/>
    <n v="2"/>
    <s v="Madhya Pradesh"/>
    <s v="Young Adult"/>
  </r>
  <r>
    <s v="STU-4012"/>
    <n v="21"/>
    <s v="Business Administration"/>
    <x v="1"/>
    <n v="1"/>
    <s v="Literature Review"/>
    <n v="3.01"/>
    <n v="3.01"/>
    <n v="0"/>
    <n v="4"/>
    <x v="1"/>
    <n v="2"/>
    <s v="Madhya Pradesh"/>
    <s v="Young Adult"/>
  </r>
  <r>
    <s v="STU-9721"/>
    <n v="18"/>
    <s v="Business Administration"/>
    <x v="3"/>
    <n v="10"/>
    <s v="Brainstorming"/>
    <n v="2.84"/>
    <n v="2.84"/>
    <n v="0"/>
    <n v="4"/>
    <x v="2"/>
    <n v="3"/>
    <s v="Punjab"/>
    <s v="Teen"/>
  </r>
  <r>
    <s v="STU-8047"/>
    <n v="21"/>
    <s v="Modern History"/>
    <x v="1"/>
    <n v="8"/>
    <s v="Essay Drafting"/>
    <n v="2.9"/>
    <n v="3.2"/>
    <n v="0.30000000000000027"/>
    <n v="4"/>
    <x v="1"/>
    <n v="5"/>
    <s v="Madhya Pradesh"/>
    <s v="Young Adult"/>
  </r>
  <r>
    <s v="STU-2524"/>
    <n v="23"/>
    <s v="Fine Arts"/>
    <x v="2"/>
    <n v="5"/>
    <s v="Brainstorming"/>
    <n v="3.25"/>
    <n v="3.25"/>
    <n v="0"/>
    <n v="14"/>
    <x v="1"/>
    <n v="5"/>
    <s v="Bihar"/>
    <s v="Adult"/>
  </r>
  <r>
    <s v="STU-1262"/>
    <n v="25"/>
    <s v="Business Administration"/>
    <x v="3"/>
    <n v="3"/>
    <s v="Essay Drafting"/>
    <n v="3.56"/>
    <n v="3.66"/>
    <n v="0.10000000000000009"/>
    <n v="15"/>
    <x v="2"/>
    <n v="8"/>
    <s v="Karnataka"/>
    <s v="Adult"/>
  </r>
  <r>
    <s v="STU-4912"/>
    <n v="20"/>
    <s v="Software Engineering"/>
    <x v="0"/>
    <n v="7"/>
    <s v="Brainstorming"/>
    <n v="3.47"/>
    <n v="3.77"/>
    <n v="0.29999999999999982"/>
    <n v="12"/>
    <x v="0"/>
    <n v="3"/>
    <s v="Telangana"/>
    <s v="Young Adult"/>
  </r>
  <r>
    <s v="STU-6287"/>
    <n v="25"/>
    <s v="Fine Arts"/>
    <x v="3"/>
    <n v="6"/>
    <s v="Exam Prep"/>
    <n v="3.29"/>
    <n v="3.49"/>
    <n v="0.20000000000000018"/>
    <n v="7"/>
    <x v="1"/>
    <n v="5"/>
    <s v="Uttar Pradesh"/>
    <s v="Adult"/>
  </r>
  <r>
    <s v="STU-4659"/>
    <n v="23"/>
    <s v="Software Engineering"/>
    <x v="3"/>
    <n v="1"/>
    <s v="Exam Prep"/>
    <n v="3.5"/>
    <n v="3.4"/>
    <n v="-0.10000000000000009"/>
    <n v="15"/>
    <x v="0"/>
    <n v="3"/>
    <s v="Karnataka"/>
    <s v="Adult"/>
  </r>
  <r>
    <s v="STU-1368"/>
    <n v="18"/>
    <s v="Software Engineering"/>
    <x v="0"/>
    <n v="8"/>
    <s v="Essay Drafting"/>
    <n v="2.91"/>
    <n v="2.91"/>
    <n v="0"/>
    <n v="10"/>
    <x v="1"/>
    <n v="6"/>
    <s v="Gujarat"/>
    <s v="Teen"/>
  </r>
  <r>
    <s v="STU-5476"/>
    <n v="18"/>
    <s v="Biology"/>
    <x v="1"/>
    <n v="6"/>
    <s v="Code Debugging"/>
    <n v="3.67"/>
    <n v="3.77"/>
    <n v="0.10000000000000009"/>
    <n v="6"/>
    <x v="2"/>
    <n v="10"/>
    <s v="Gujarat"/>
    <s v="Teen"/>
  </r>
  <r>
    <s v="STU-3717"/>
    <n v="22"/>
    <s v="Data Science"/>
    <x v="1"/>
    <n v="7"/>
    <s v="Essay Drafting"/>
    <n v="3.41"/>
    <n v="3.41"/>
    <n v="0"/>
    <n v="14"/>
    <x v="1"/>
    <n v="3"/>
    <s v="Bihar"/>
    <s v="Young Adult"/>
  </r>
  <r>
    <s v="STU-9040"/>
    <n v="18"/>
    <s v="Fine Arts"/>
    <x v="1"/>
    <n v="4"/>
    <s v="Essay Drafting"/>
    <n v="3.68"/>
    <n v="3.58"/>
    <n v="-0.10000000000000009"/>
    <n v="13"/>
    <x v="2"/>
    <n v="10"/>
    <s v="Punjab"/>
    <s v="Teen"/>
  </r>
  <r>
    <s v="STU-1542"/>
    <n v="18"/>
    <s v="Software Engineering"/>
    <x v="2"/>
    <n v="7"/>
    <s v="Exam Prep"/>
    <n v="3.3"/>
    <n v="3.2"/>
    <n v="-9.9999999999999645E-2"/>
    <n v="7"/>
    <x v="2"/>
    <n v="5"/>
    <s v="Madhya Pradesh"/>
    <s v="Teen"/>
  </r>
  <r>
    <s v="STU-6162"/>
    <n v="23"/>
    <s v="Software Engineering"/>
    <x v="0"/>
    <n v="5"/>
    <s v="Essay Drafting"/>
    <n v="3.46"/>
    <n v="3.76"/>
    <n v="0.29999999999999982"/>
    <n v="15"/>
    <x v="2"/>
    <n v="6"/>
    <s v="Uttar Pradesh"/>
    <s v="Adult"/>
  </r>
  <r>
    <s v="STU-1087"/>
    <n v="21"/>
    <s v="Software Engineering"/>
    <x v="3"/>
    <n v="8"/>
    <s v="Code Debugging"/>
    <n v="3.48"/>
    <n v="3.38"/>
    <n v="-0.10000000000000009"/>
    <n v="2"/>
    <x v="1"/>
    <n v="10"/>
    <s v="Bihar"/>
    <s v="Young Adult"/>
  </r>
  <r>
    <s v="STU-7875"/>
    <n v="25"/>
    <s v="Fine Arts"/>
    <x v="3"/>
    <n v="10"/>
    <s v="Exam Prep"/>
    <n v="3.21"/>
    <n v="3.51"/>
    <n v="0.29999999999999982"/>
    <n v="3"/>
    <x v="0"/>
    <n v="4"/>
    <s v="Andhra Pradesh"/>
    <s v="Adult"/>
  </r>
  <r>
    <s v="STU-4715"/>
    <n v="25"/>
    <s v="Biology"/>
    <x v="4"/>
    <n v="8"/>
    <s v="Essay Drafting"/>
    <n v="3.34"/>
    <n v="3.24"/>
    <n v="-9.9999999999999645E-2"/>
    <n v="6"/>
    <x v="2"/>
    <n v="4"/>
    <s v="West Bengal"/>
    <s v="Adult"/>
  </r>
  <r>
    <s v="STU-9830"/>
    <n v="23"/>
    <s v="Modern History"/>
    <x v="3"/>
    <n v="7"/>
    <s v="Exam Prep"/>
    <n v="3.47"/>
    <n v="3.67"/>
    <n v="0.19999999999999973"/>
    <n v="5"/>
    <x v="0"/>
    <n v="9"/>
    <s v="Rajasthan"/>
    <s v="Adult"/>
  </r>
  <r>
    <s v="STU-1896"/>
    <n v="23"/>
    <s v="Fine Arts"/>
    <x v="4"/>
    <n v="7"/>
    <s v="Exam Prep"/>
    <n v="3.67"/>
    <n v="3.97"/>
    <n v="0.30000000000000027"/>
    <n v="3"/>
    <x v="0"/>
    <n v="10"/>
    <s v="Uttar Pradesh"/>
    <s v="Adult"/>
  </r>
  <r>
    <s v="STU-4341"/>
    <n v="21"/>
    <s v="Biology"/>
    <x v="3"/>
    <n v="9"/>
    <s v="Essay Drafting"/>
    <n v="3.39"/>
    <n v="3.29"/>
    <n v="-0.10000000000000009"/>
    <n v="15"/>
    <x v="0"/>
    <n v="4"/>
    <s v="Andhra Pradesh"/>
    <s v="Young Adult"/>
  </r>
  <r>
    <s v="STU-7965"/>
    <n v="23"/>
    <s v="Biology"/>
    <x v="4"/>
    <n v="7"/>
    <s v="Code Debugging"/>
    <n v="3.52"/>
    <n v="3.62"/>
    <n v="0.10000000000000009"/>
    <n v="4"/>
    <x v="1"/>
    <n v="10"/>
    <s v="Rajasthan"/>
    <s v="Adult"/>
  </r>
  <r>
    <s v="STU-7468"/>
    <n v="23"/>
    <s v="Modern History"/>
    <x v="2"/>
    <n v="5"/>
    <s v="Code Debugging"/>
    <n v="3.06"/>
    <n v="3.06"/>
    <n v="0"/>
    <n v="6"/>
    <x v="0"/>
    <n v="4"/>
    <s v="Gujarat"/>
    <s v="Adult"/>
  </r>
  <r>
    <s v="STU-7318"/>
    <n v="24"/>
    <s v="Modern History"/>
    <x v="0"/>
    <n v="2"/>
    <s v="Brainstorming"/>
    <n v="2.6"/>
    <n v="2.6"/>
    <n v="0"/>
    <n v="11"/>
    <x v="1"/>
    <n v="6"/>
    <s v="Maharashtra"/>
    <s v="Adult"/>
  </r>
  <r>
    <s v="STU-4044"/>
    <n v="20"/>
    <s v="Fine Arts"/>
    <x v="3"/>
    <n v="6"/>
    <s v="Code Debugging"/>
    <n v="3.13"/>
    <n v="3.13"/>
    <n v="0"/>
    <n v="13"/>
    <x v="1"/>
    <n v="6"/>
    <s v="Madhya Pradesh"/>
    <s v="Young Adult"/>
  </r>
  <r>
    <s v="STU-2772"/>
    <n v="23"/>
    <s v="Business Administration"/>
    <x v="3"/>
    <n v="3"/>
    <s v="Exam Prep"/>
    <n v="3.26"/>
    <n v="3.16"/>
    <n v="-9.9999999999999645E-2"/>
    <n v="11"/>
    <x v="2"/>
    <n v="7"/>
    <s v="Gujarat"/>
    <s v="Adult"/>
  </r>
  <r>
    <s v="STU-6373"/>
    <n v="20"/>
    <s v="Data Science"/>
    <x v="3"/>
    <n v="5"/>
    <s v="Exam Prep"/>
    <n v="3.95"/>
    <n v="4"/>
    <n v="4.9999999999999822E-2"/>
    <n v="4"/>
    <x v="2"/>
    <n v="10"/>
    <s v="Telangana"/>
    <s v="Young Adult"/>
  </r>
  <r>
    <s v="STU-5460"/>
    <n v="23"/>
    <s v="Modern History"/>
    <x v="3"/>
    <n v="1"/>
    <s v="Exam Prep"/>
    <n v="2.68"/>
    <n v="2.58"/>
    <n v="-0.10000000000000009"/>
    <n v="3"/>
    <x v="1"/>
    <n v="8"/>
    <s v="Telangana"/>
    <s v="Adult"/>
  </r>
  <r>
    <s v="STU-3684"/>
    <n v="22"/>
    <s v="Data Science"/>
    <x v="2"/>
    <n v="3"/>
    <s v="Code Debugging"/>
    <n v="3.89"/>
    <n v="3.79"/>
    <n v="-0.10000000000000009"/>
    <n v="4"/>
    <x v="0"/>
    <n v="5"/>
    <s v="Telangana"/>
    <s v="Young Adult"/>
  </r>
  <r>
    <s v="STU-4331"/>
    <n v="19"/>
    <s v="Biology"/>
    <x v="1"/>
    <n v="5"/>
    <s v="Exam Prep"/>
    <n v="3.99"/>
    <n v="3.89"/>
    <n v="-0.10000000000000009"/>
    <n v="7"/>
    <x v="0"/>
    <n v="9"/>
    <s v="Uttar Pradesh"/>
    <s v="Teen"/>
  </r>
  <r>
    <s v="STU-6148"/>
    <n v="19"/>
    <s v="Data Science"/>
    <x v="2"/>
    <n v="8"/>
    <s v="Brainstorming"/>
    <n v="3"/>
    <n v="3.1"/>
    <n v="0.10000000000000009"/>
    <n v="11"/>
    <x v="2"/>
    <n v="9"/>
    <s v="Andhra Pradesh"/>
    <s v="Teen"/>
  </r>
  <r>
    <s v="STU-9197"/>
    <n v="23"/>
    <s v="Biology"/>
    <x v="0"/>
    <n v="3"/>
    <s v="Exam Prep"/>
    <n v="3.44"/>
    <n v="3.54"/>
    <n v="0.10000000000000009"/>
    <n v="12"/>
    <x v="1"/>
    <n v="7"/>
    <s v="Tamil Nadu"/>
    <s v="Adult"/>
  </r>
  <r>
    <s v="STU-5682"/>
    <n v="19"/>
    <s v="Data Science"/>
    <x v="0"/>
    <n v="8"/>
    <s v="Exam Prep"/>
    <n v="2.72"/>
    <n v="2.62"/>
    <n v="-0.10000000000000009"/>
    <n v="2"/>
    <x v="1"/>
    <n v="9"/>
    <s v="Gujarat"/>
    <s v="Teen"/>
  </r>
  <r>
    <s v="STU-1496"/>
    <n v="19"/>
    <s v="Modern History"/>
    <x v="3"/>
    <n v="10"/>
    <s v="Literature Review"/>
    <n v="2.62"/>
    <n v="2.62"/>
    <n v="0"/>
    <n v="4"/>
    <x v="0"/>
    <n v="8"/>
    <s v="Andhra Pradesh"/>
    <s v="Teen"/>
  </r>
  <r>
    <s v="STU-6383"/>
    <n v="22"/>
    <s v="Modern History"/>
    <x v="2"/>
    <n v="9"/>
    <s v="Brainstorming"/>
    <n v="2.73"/>
    <n v="2.83"/>
    <n v="0.10000000000000009"/>
    <n v="12"/>
    <x v="2"/>
    <n v="4"/>
    <s v="Uttar Pradesh"/>
    <s v="Young Adult"/>
  </r>
  <r>
    <s v="STU-1750"/>
    <n v="25"/>
    <s v="Data Science"/>
    <x v="0"/>
    <n v="1"/>
    <s v="Exam Prep"/>
    <n v="3.46"/>
    <n v="3.36"/>
    <n v="-0.10000000000000009"/>
    <n v="11"/>
    <x v="0"/>
    <n v="1"/>
    <s v="Odisha"/>
    <s v="Adult"/>
  </r>
  <r>
    <s v="STU-5542"/>
    <n v="24"/>
    <s v="Data Science"/>
    <x v="2"/>
    <n v="6"/>
    <s v="Brainstorming"/>
    <n v="3.23"/>
    <n v="3.23"/>
    <n v="0"/>
    <n v="8"/>
    <x v="0"/>
    <n v="10"/>
    <s v="Madhya Pradesh"/>
    <s v="Adult"/>
  </r>
  <r>
    <s v="STU-7336"/>
    <n v="22"/>
    <s v="Fine Arts"/>
    <x v="1"/>
    <n v="8"/>
    <s v="Essay Drafting"/>
    <n v="3.77"/>
    <n v="3.87"/>
    <n v="0.10000000000000009"/>
    <n v="5"/>
    <x v="1"/>
    <n v="9"/>
    <s v="Tamil Nadu"/>
    <s v="Young Adult"/>
  </r>
  <r>
    <s v="STU-4965"/>
    <n v="25"/>
    <s v="Fine Arts"/>
    <x v="3"/>
    <n v="10"/>
    <s v="Brainstorming"/>
    <n v="3.84"/>
    <n v="3.84"/>
    <n v="0"/>
    <n v="15"/>
    <x v="2"/>
    <n v="2"/>
    <s v="Telangana"/>
    <s v="Adult"/>
  </r>
  <r>
    <s v="STU-5931"/>
    <n v="25"/>
    <s v="Biology"/>
    <x v="3"/>
    <n v="10"/>
    <s v="Brainstorming"/>
    <n v="3.8"/>
    <n v="4"/>
    <n v="0.20000000000000018"/>
    <n v="3"/>
    <x v="0"/>
    <n v="2"/>
    <s v="Andhra Pradesh"/>
    <s v="Adult"/>
  </r>
  <r>
    <s v="STU-8009"/>
    <n v="20"/>
    <s v="Modern History"/>
    <x v="3"/>
    <n v="8"/>
    <s v="Brainstorming"/>
    <n v="3.97"/>
    <n v="4"/>
    <n v="2.9999999999999805E-2"/>
    <n v="4"/>
    <x v="2"/>
    <n v="5"/>
    <s v="Haryana"/>
    <s v="Young Adult"/>
  </r>
  <r>
    <s v="STU-7578"/>
    <n v="20"/>
    <s v="Business Administration"/>
    <x v="2"/>
    <n v="10"/>
    <s v="Essay Drafting"/>
    <n v="3.14"/>
    <n v="3.24"/>
    <n v="0.10000000000000009"/>
    <n v="9"/>
    <x v="1"/>
    <n v="9"/>
    <s v="Andhra Pradesh"/>
    <s v="Young Adult"/>
  </r>
  <r>
    <s v="STU-7844"/>
    <n v="25"/>
    <s v="Business Administration"/>
    <x v="4"/>
    <n v="4"/>
    <s v="Brainstorming"/>
    <n v="2.7"/>
    <n v="2.9"/>
    <n v="0.19999999999999973"/>
    <n v="2"/>
    <x v="2"/>
    <n v="5"/>
    <s v="Punjab"/>
    <s v="Adult"/>
  </r>
  <r>
    <s v="STU-0196"/>
    <n v="23"/>
    <s v="Software Engineering"/>
    <x v="1"/>
    <n v="9"/>
    <s v="Brainstorming"/>
    <n v="2.74"/>
    <n v="2.64"/>
    <n v="-0.10000000000000009"/>
    <n v="14"/>
    <x v="1"/>
    <n v="1"/>
    <s v="Karnataka"/>
    <s v="Adult"/>
  </r>
  <r>
    <s v="STU-3402"/>
    <n v="24"/>
    <s v="Fine Arts"/>
    <x v="0"/>
    <n v="8"/>
    <s v="Exam Prep"/>
    <n v="3.06"/>
    <n v="3.36"/>
    <n v="0.29999999999999982"/>
    <n v="8"/>
    <x v="1"/>
    <n v="6"/>
    <s v="Madhya Pradesh"/>
    <s v="Adult"/>
  </r>
  <r>
    <s v="STU-9168"/>
    <n v="24"/>
    <s v="Business Administration"/>
    <x v="0"/>
    <n v="10"/>
    <s v="Exam Prep"/>
    <n v="3.4"/>
    <n v="3.5"/>
    <n v="0.10000000000000009"/>
    <n v="6"/>
    <x v="2"/>
    <n v="10"/>
    <s v="Rajasthan"/>
    <s v="Adult"/>
  </r>
  <r>
    <s v="STU-0087"/>
    <n v="21"/>
    <s v="Data Science"/>
    <x v="4"/>
    <n v="3"/>
    <s v="Exam Prep"/>
    <n v="2.57"/>
    <n v="2.4700000000000002"/>
    <n v="-9.9999999999999645E-2"/>
    <n v="13"/>
    <x v="1"/>
    <n v="6"/>
    <s v="Karnataka"/>
    <s v="Young Adult"/>
  </r>
  <r>
    <s v="STU-9997"/>
    <n v="19"/>
    <s v="Business Administration"/>
    <x v="2"/>
    <n v="5"/>
    <s v="Essay Drafting"/>
    <n v="3.69"/>
    <n v="3.89"/>
    <n v="0.20000000000000018"/>
    <n v="14"/>
    <x v="2"/>
    <n v="10"/>
    <s v="Rajasthan"/>
    <s v="Teen"/>
  </r>
  <r>
    <s v="STU-3856"/>
    <n v="18"/>
    <s v="Modern History"/>
    <x v="4"/>
    <n v="10"/>
    <s v="Code Debugging"/>
    <n v="3.39"/>
    <n v="3.59"/>
    <n v="0.19999999999999973"/>
    <n v="8"/>
    <x v="0"/>
    <n v="3"/>
    <s v="Bihar"/>
    <s v="Teen"/>
  </r>
  <r>
    <s v="STU-8649"/>
    <n v="18"/>
    <s v="Fine Arts"/>
    <x v="1"/>
    <n v="2"/>
    <s v="Brainstorming"/>
    <n v="3.36"/>
    <n v="3.46"/>
    <n v="0.10000000000000009"/>
    <n v="4"/>
    <x v="2"/>
    <n v="7"/>
    <s v="Gujarat"/>
    <s v="Teen"/>
  </r>
  <r>
    <s v="STU-0482"/>
    <n v="18"/>
    <s v="Fine Arts"/>
    <x v="2"/>
    <n v="8"/>
    <s v="Code Debugging"/>
    <n v="3.79"/>
    <n v="3.79"/>
    <n v="0"/>
    <n v="7"/>
    <x v="2"/>
    <n v="10"/>
    <s v="Kerala"/>
    <s v="Teen"/>
  </r>
  <r>
    <s v="STU-1777"/>
    <n v="20"/>
    <s v="Biology"/>
    <x v="4"/>
    <n v="4"/>
    <s v="Exam Prep"/>
    <n v="2.72"/>
    <n v="3.02"/>
    <n v="0.29999999999999982"/>
    <n v="7"/>
    <x v="0"/>
    <n v="6"/>
    <s v="Haryana"/>
    <s v="Young Adult"/>
  </r>
  <r>
    <s v="STU-9359"/>
    <n v="24"/>
    <s v="Modern History"/>
    <x v="2"/>
    <n v="4"/>
    <s v="Code Debugging"/>
    <n v="2.67"/>
    <n v="2.67"/>
    <n v="0"/>
    <n v="7"/>
    <x v="2"/>
    <n v="7"/>
    <s v="Kerala"/>
    <s v="Adult"/>
  </r>
  <r>
    <s v="STU-3096"/>
    <n v="23"/>
    <s v="Modern History"/>
    <x v="4"/>
    <n v="6"/>
    <s v="Brainstorming"/>
    <n v="2.64"/>
    <n v="2.84"/>
    <n v="0.19999999999999973"/>
    <n v="5"/>
    <x v="0"/>
    <n v="4"/>
    <s v="Tamil Nadu"/>
    <s v="Adult"/>
  </r>
  <r>
    <s v="STU-2732"/>
    <n v="20"/>
    <s v="Data Science"/>
    <x v="4"/>
    <n v="8"/>
    <s v="Essay Drafting"/>
    <n v="3.86"/>
    <n v="3.86"/>
    <n v="0"/>
    <n v="11"/>
    <x v="2"/>
    <n v="9"/>
    <s v="Madhya Pradesh"/>
    <s v="Young Adult"/>
  </r>
  <r>
    <s v="STU-7901"/>
    <n v="24"/>
    <s v="Fine Arts"/>
    <x v="0"/>
    <n v="9"/>
    <s v="Code Debugging"/>
    <n v="3.38"/>
    <n v="3.48"/>
    <n v="0.10000000000000009"/>
    <n v="14"/>
    <x v="1"/>
    <n v="9"/>
    <s v="Uttar Pradesh"/>
    <s v="Adult"/>
  </r>
  <r>
    <s v="STU-9464"/>
    <n v="25"/>
    <s v="Data Science"/>
    <x v="3"/>
    <n v="2"/>
    <s v="Literature Review"/>
    <n v="3.34"/>
    <n v="3.24"/>
    <n v="-9.9999999999999645E-2"/>
    <n v="11"/>
    <x v="1"/>
    <n v="5"/>
    <s v="Odisha"/>
    <s v="Adult"/>
  </r>
  <r>
    <s v="STU-9776"/>
    <n v="25"/>
    <s v="Software Engineering"/>
    <x v="3"/>
    <n v="5"/>
    <s v="Essay Drafting"/>
    <n v="3.81"/>
    <n v="4"/>
    <n v="0.18999999999999995"/>
    <n v="13"/>
    <x v="2"/>
    <n v="1"/>
    <s v="Gujarat"/>
    <s v="Adult"/>
  </r>
  <r>
    <s v="STU-8502"/>
    <n v="24"/>
    <s v="Data Science"/>
    <x v="0"/>
    <n v="5"/>
    <s v="Exam Prep"/>
    <n v="3.81"/>
    <n v="3.91"/>
    <n v="0.10000000000000009"/>
    <n v="13"/>
    <x v="1"/>
    <n v="4"/>
    <s v="Karnataka"/>
    <s v="Adult"/>
  </r>
  <r>
    <s v="STU-4713"/>
    <n v="19"/>
    <s v="Business Administration"/>
    <x v="1"/>
    <n v="6"/>
    <s v="Code Debugging"/>
    <n v="3.3"/>
    <n v="3.3"/>
    <n v="0"/>
    <n v="3"/>
    <x v="0"/>
    <n v="3"/>
    <s v="Odisha"/>
    <s v="Teen"/>
  </r>
  <r>
    <s v="STU-6280"/>
    <n v="25"/>
    <s v="Biology"/>
    <x v="1"/>
    <n v="2"/>
    <s v="Brainstorming"/>
    <n v="3.39"/>
    <n v="3.69"/>
    <n v="0.29999999999999982"/>
    <n v="9"/>
    <x v="2"/>
    <n v="6"/>
    <s v="Haryana"/>
    <s v="Adult"/>
  </r>
  <r>
    <s v="STU-7699"/>
    <n v="22"/>
    <s v="Modern History"/>
    <x v="2"/>
    <n v="10"/>
    <s v="Literature Review"/>
    <n v="3.16"/>
    <n v="3.36"/>
    <n v="0.19999999999999973"/>
    <n v="3"/>
    <x v="2"/>
    <n v="1"/>
    <s v="Telangana"/>
    <s v="Young Adult"/>
  </r>
  <r>
    <s v="STU-1704"/>
    <n v="24"/>
    <s v="Biology"/>
    <x v="3"/>
    <n v="1"/>
    <s v="Literature Review"/>
    <n v="3.74"/>
    <n v="3.84"/>
    <n v="9.9999999999999645E-2"/>
    <n v="2"/>
    <x v="2"/>
    <n v="7"/>
    <s v="Andhra Pradesh"/>
    <s v="Adult"/>
  </r>
  <r>
    <s v="STU-6617"/>
    <n v="21"/>
    <s v="Fine Arts"/>
    <x v="4"/>
    <n v="6"/>
    <s v="Exam Prep"/>
    <n v="3.96"/>
    <n v="3.86"/>
    <n v="-0.10000000000000009"/>
    <n v="9"/>
    <x v="1"/>
    <n v="9"/>
    <s v="Bihar"/>
    <s v="Young Adult"/>
  </r>
  <r>
    <s v="STU-7718"/>
    <n v="20"/>
    <s v="Software Engineering"/>
    <x v="0"/>
    <n v="4"/>
    <s v="Brainstorming"/>
    <n v="2.8"/>
    <n v="3.1"/>
    <n v="0.30000000000000027"/>
    <n v="4"/>
    <x v="0"/>
    <n v="5"/>
    <s v="Telangana"/>
    <s v="Young Adult"/>
  </r>
  <r>
    <s v="STU-1294"/>
    <n v="21"/>
    <s v="Modern History"/>
    <x v="3"/>
    <n v="3"/>
    <s v="Essay Drafting"/>
    <n v="3.62"/>
    <n v="3.82"/>
    <n v="0.19999999999999973"/>
    <n v="5"/>
    <x v="1"/>
    <n v="2"/>
    <s v="Andhra Pradesh"/>
    <s v="Young Adult"/>
  </r>
  <r>
    <s v="STU-0633"/>
    <n v="20"/>
    <s v="Data Science"/>
    <x v="2"/>
    <n v="10"/>
    <s v="Literature Review"/>
    <n v="3.09"/>
    <n v="2.99"/>
    <n v="-9.9999999999999645E-2"/>
    <n v="2"/>
    <x v="0"/>
    <n v="7"/>
    <s v="Bihar"/>
    <s v="Young Adult"/>
  </r>
  <r>
    <s v="STU-7118"/>
    <n v="19"/>
    <s v="Fine Arts"/>
    <x v="0"/>
    <n v="9"/>
    <s v="Literature Review"/>
    <n v="2.77"/>
    <n v="2.67"/>
    <n v="-0.10000000000000009"/>
    <n v="10"/>
    <x v="2"/>
    <n v="9"/>
    <s v="Uttar Pradesh"/>
    <s v="Teen"/>
  </r>
  <r>
    <s v="STU-5038"/>
    <n v="18"/>
    <s v="Software Engineering"/>
    <x v="2"/>
    <n v="6"/>
    <s v="Exam Prep"/>
    <n v="2.88"/>
    <n v="3.08"/>
    <n v="0.20000000000000018"/>
    <n v="9"/>
    <x v="0"/>
    <n v="7"/>
    <s v="Karnataka"/>
    <s v="Teen"/>
  </r>
  <r>
    <s v="STU-4664"/>
    <n v="24"/>
    <s v="Biology"/>
    <x v="4"/>
    <n v="3"/>
    <s v="Essay Drafting"/>
    <n v="3.77"/>
    <n v="3.97"/>
    <n v="0.20000000000000018"/>
    <n v="3"/>
    <x v="1"/>
    <n v="6"/>
    <s v="Uttar Pradesh"/>
    <s v="Adult"/>
  </r>
  <r>
    <s v="STU-1516"/>
    <n v="20"/>
    <s v="Biology"/>
    <x v="3"/>
    <n v="9"/>
    <s v="Literature Review"/>
    <n v="2.52"/>
    <n v="2.82"/>
    <n v="0.29999999999999982"/>
    <n v="6"/>
    <x v="2"/>
    <n v="3"/>
    <s v="Karnataka"/>
    <s v="Young Adult"/>
  </r>
  <r>
    <s v="STU-6126"/>
    <n v="24"/>
    <s v="Biology"/>
    <x v="2"/>
    <n v="8"/>
    <s v="Essay Drafting"/>
    <n v="3.45"/>
    <n v="3.75"/>
    <n v="0.29999999999999982"/>
    <n v="7"/>
    <x v="2"/>
    <n v="1"/>
    <s v="Karnataka"/>
    <s v="Adult"/>
  </r>
  <r>
    <s v="STU-9105"/>
    <n v="24"/>
    <s v="Modern History"/>
    <x v="3"/>
    <n v="4"/>
    <s v="Code Debugging"/>
    <n v="3.87"/>
    <n v="3.77"/>
    <n v="-0.10000000000000009"/>
    <n v="2"/>
    <x v="1"/>
    <n v="9"/>
    <s v="Tamil Nadu"/>
    <s v="Adult"/>
  </r>
  <r>
    <s v="STU-4063"/>
    <n v="18"/>
    <s v="Business Administration"/>
    <x v="2"/>
    <n v="5"/>
    <s v="Essay Drafting"/>
    <n v="3.13"/>
    <n v="3.23"/>
    <n v="0.10000000000000009"/>
    <n v="2"/>
    <x v="1"/>
    <n v="1"/>
    <s v="Madhya Pradesh"/>
    <s v="Teen"/>
  </r>
  <r>
    <s v="STU-8107"/>
    <n v="19"/>
    <s v="Modern History"/>
    <x v="4"/>
    <n v="9"/>
    <s v="Literature Review"/>
    <n v="3.16"/>
    <n v="3.06"/>
    <n v="-0.10000000000000009"/>
    <n v="12"/>
    <x v="0"/>
    <n v="9"/>
    <s v="Gujarat"/>
    <s v="Teen"/>
  </r>
  <r>
    <s v="STU-2686"/>
    <n v="19"/>
    <s v="Modern History"/>
    <x v="3"/>
    <n v="8"/>
    <s v="Literature Review"/>
    <n v="3.77"/>
    <n v="3.87"/>
    <n v="0.10000000000000009"/>
    <n v="6"/>
    <x v="2"/>
    <n v="5"/>
    <s v="Gujarat"/>
    <s v="Teen"/>
  </r>
  <r>
    <s v="STU-5434"/>
    <n v="20"/>
    <s v="Software Engineering"/>
    <x v="4"/>
    <n v="8"/>
    <s v="Brainstorming"/>
    <n v="3.02"/>
    <n v="3.12"/>
    <n v="0.10000000000000009"/>
    <n v="12"/>
    <x v="2"/>
    <n v="8"/>
    <s v="Odisha"/>
    <s v="Young Adult"/>
  </r>
  <r>
    <s v="STU-4099"/>
    <n v="21"/>
    <s v="Fine Arts"/>
    <x v="1"/>
    <n v="2"/>
    <s v="Literature Review"/>
    <n v="3.9"/>
    <n v="4"/>
    <n v="0.10000000000000009"/>
    <n v="13"/>
    <x v="0"/>
    <n v="10"/>
    <s v="Tamil Nadu"/>
    <s v="Young Adult"/>
  </r>
  <r>
    <s v="STU-9323"/>
    <n v="23"/>
    <s v="Business Administration"/>
    <x v="3"/>
    <n v="5"/>
    <s v="Literature Review"/>
    <n v="3.51"/>
    <n v="3.71"/>
    <n v="0.20000000000000018"/>
    <n v="5"/>
    <x v="1"/>
    <n v="4"/>
    <s v="Haryana"/>
    <s v="Adult"/>
  </r>
  <r>
    <s v="STU-1636"/>
    <n v="25"/>
    <s v="Data Science"/>
    <x v="2"/>
    <n v="4"/>
    <s v="Literature Review"/>
    <n v="3.81"/>
    <n v="3.91"/>
    <n v="0.10000000000000009"/>
    <n v="14"/>
    <x v="0"/>
    <n v="3"/>
    <s v="Punjab"/>
    <s v="Adult"/>
  </r>
  <r>
    <s v="STU-0581"/>
    <n v="22"/>
    <s v="Modern History"/>
    <x v="2"/>
    <n v="3"/>
    <s v="Brainstorming"/>
    <n v="2.74"/>
    <n v="2.64"/>
    <n v="-0.10000000000000009"/>
    <n v="11"/>
    <x v="0"/>
    <n v="6"/>
    <s v="Maharashtra"/>
    <s v="Young Adult"/>
  </r>
  <r>
    <s v="STU-9034"/>
    <n v="25"/>
    <s v="Software Engineering"/>
    <x v="4"/>
    <n v="6"/>
    <s v="Exam Prep"/>
    <n v="3.66"/>
    <n v="3.86"/>
    <n v="0.19999999999999973"/>
    <n v="3"/>
    <x v="2"/>
    <n v="5"/>
    <s v="Gujarat"/>
    <s v="Adult"/>
  </r>
  <r>
    <s v="STU-6732"/>
    <n v="23"/>
    <s v="Biology"/>
    <x v="0"/>
    <n v="3"/>
    <s v="Exam Prep"/>
    <n v="3.8"/>
    <n v="3.7"/>
    <n v="-9.9999999999999645E-2"/>
    <n v="13"/>
    <x v="1"/>
    <n v="4"/>
    <s v="Haryana"/>
    <s v="Adult"/>
  </r>
  <r>
    <s v="STU-5918"/>
    <n v="21"/>
    <s v="Biology"/>
    <x v="2"/>
    <n v="6"/>
    <s v="Essay Drafting"/>
    <n v="3.35"/>
    <n v="3.65"/>
    <n v="0.29999999999999982"/>
    <n v="3"/>
    <x v="1"/>
    <n v="9"/>
    <s v="Uttar Pradesh"/>
    <s v="Young Adult"/>
  </r>
  <r>
    <s v="STU-0463"/>
    <n v="19"/>
    <s v="Modern History"/>
    <x v="2"/>
    <n v="6"/>
    <s v="Essay Drafting"/>
    <n v="2.91"/>
    <n v="2.81"/>
    <n v="-0.10000000000000009"/>
    <n v="12"/>
    <x v="0"/>
    <n v="3"/>
    <s v="Maharashtra"/>
    <s v="Teen"/>
  </r>
  <r>
    <s v="STU-7712"/>
    <n v="18"/>
    <s v="Modern History"/>
    <x v="1"/>
    <n v="5"/>
    <s v="Code Debugging"/>
    <n v="3.8"/>
    <n v="3.7"/>
    <n v="-9.9999999999999645E-2"/>
    <n v="5"/>
    <x v="2"/>
    <n v="5"/>
    <s v="Madhya Pradesh"/>
    <s v="Teen"/>
  </r>
  <r>
    <s v="STU-4473"/>
    <n v="23"/>
    <s v="Software Engineering"/>
    <x v="1"/>
    <n v="5"/>
    <s v="Exam Prep"/>
    <n v="2.74"/>
    <n v="3.04"/>
    <n v="0.29999999999999982"/>
    <n v="14"/>
    <x v="1"/>
    <n v="1"/>
    <s v="Odisha"/>
    <s v="Adult"/>
  </r>
  <r>
    <s v="STU-6203"/>
    <n v="19"/>
    <s v="Software Engineering"/>
    <x v="0"/>
    <n v="7"/>
    <s v="Literature Review"/>
    <n v="3.86"/>
    <n v="3.86"/>
    <n v="0"/>
    <n v="8"/>
    <x v="1"/>
    <n v="5"/>
    <s v="Bihar"/>
    <s v="Teen"/>
  </r>
  <r>
    <s v="STU-1759"/>
    <n v="23"/>
    <s v="Business Administration"/>
    <x v="2"/>
    <n v="7"/>
    <s v="Essay Drafting"/>
    <n v="3.34"/>
    <n v="3.54"/>
    <n v="0.20000000000000018"/>
    <n v="13"/>
    <x v="0"/>
    <n v="5"/>
    <s v="Telangana"/>
    <s v="Adult"/>
  </r>
  <r>
    <s v="STU-6770"/>
    <n v="20"/>
    <s v="Business Administration"/>
    <x v="4"/>
    <n v="2"/>
    <s v="Exam Prep"/>
    <n v="3.31"/>
    <n v="3.61"/>
    <n v="0.29999999999999982"/>
    <n v="8"/>
    <x v="2"/>
    <n v="3"/>
    <s v="Punjab"/>
    <s v="Young Adult"/>
  </r>
  <r>
    <s v="STU-1573"/>
    <n v="23"/>
    <s v="Modern History"/>
    <x v="4"/>
    <n v="3"/>
    <s v="Exam Prep"/>
    <n v="3.09"/>
    <n v="3.39"/>
    <n v="0.30000000000000027"/>
    <n v="10"/>
    <x v="2"/>
    <n v="9"/>
    <s v="Gujarat"/>
    <s v="Adult"/>
  </r>
  <r>
    <s v="STU-4608"/>
    <n v="24"/>
    <s v="Biology"/>
    <x v="1"/>
    <n v="7"/>
    <s v="Exam Prep"/>
    <n v="3.5"/>
    <n v="3.8"/>
    <n v="0.29999999999999982"/>
    <n v="4"/>
    <x v="2"/>
    <n v="9"/>
    <s v="Karnataka"/>
    <s v="Adult"/>
  </r>
  <r>
    <s v="STU-3934"/>
    <n v="22"/>
    <s v="Software Engineering"/>
    <x v="2"/>
    <n v="2"/>
    <s v="Code Debugging"/>
    <n v="3.15"/>
    <n v="3.25"/>
    <n v="0.10000000000000009"/>
    <n v="12"/>
    <x v="0"/>
    <n v="4"/>
    <s v="Kerala"/>
    <s v="Young Adult"/>
  </r>
  <r>
    <s v="STU-3875"/>
    <n v="24"/>
    <s v="Biology"/>
    <x v="1"/>
    <n v="7"/>
    <s v="Exam Prep"/>
    <n v="3.64"/>
    <n v="3.64"/>
    <n v="0"/>
    <n v="4"/>
    <x v="1"/>
    <n v="4"/>
    <s v="Odisha"/>
    <s v="Adult"/>
  </r>
  <r>
    <s v="STU-8673"/>
    <n v="18"/>
    <s v="Modern History"/>
    <x v="0"/>
    <n v="1"/>
    <s v="Brainstorming"/>
    <n v="3.15"/>
    <n v="3.45"/>
    <n v="0.30000000000000027"/>
    <n v="7"/>
    <x v="1"/>
    <n v="1"/>
    <s v="Karnataka"/>
    <s v="Teen"/>
  </r>
  <r>
    <s v="STU-2987"/>
    <n v="18"/>
    <s v="Fine Arts"/>
    <x v="4"/>
    <n v="6"/>
    <s v="Essay Drafting"/>
    <n v="3.11"/>
    <n v="3.21"/>
    <n v="0.10000000000000009"/>
    <n v="9"/>
    <x v="2"/>
    <n v="5"/>
    <s v="Karnataka"/>
    <s v="Teen"/>
  </r>
  <r>
    <s v="STU-3636"/>
    <n v="20"/>
    <s v="Fine Arts"/>
    <x v="2"/>
    <n v="6"/>
    <s v="Exam Prep"/>
    <n v="2.81"/>
    <n v="3.01"/>
    <n v="0.19999999999999973"/>
    <n v="4"/>
    <x v="1"/>
    <n v="9"/>
    <s v="Rajasthan"/>
    <s v="Young Adult"/>
  </r>
  <r>
    <s v="STU-7610"/>
    <n v="24"/>
    <s v="Biology"/>
    <x v="0"/>
    <n v="10"/>
    <s v="Literature Review"/>
    <n v="3.58"/>
    <n v="3.68"/>
    <n v="0.10000000000000009"/>
    <n v="10"/>
    <x v="0"/>
    <n v="5"/>
    <s v="Punjab"/>
    <s v="Adult"/>
  </r>
  <r>
    <s v="STU-9032"/>
    <n v="23"/>
    <s v="Fine Arts"/>
    <x v="1"/>
    <n v="4"/>
    <s v="Code Debugging"/>
    <n v="2.94"/>
    <n v="3.24"/>
    <n v="0.30000000000000027"/>
    <n v="3"/>
    <x v="1"/>
    <n v="4"/>
    <s v="Telangana"/>
    <s v="Adult"/>
  </r>
  <r>
    <s v="STU-9229"/>
    <n v="20"/>
    <s v="Biology"/>
    <x v="0"/>
    <n v="6"/>
    <s v="Brainstorming"/>
    <n v="3.74"/>
    <n v="3.94"/>
    <n v="0.19999999999999973"/>
    <n v="5"/>
    <x v="1"/>
    <n v="3"/>
    <s v="Gujarat"/>
    <s v="Young Adult"/>
  </r>
  <r>
    <s v="STU-4294"/>
    <n v="19"/>
    <s v="Data Science"/>
    <x v="1"/>
    <n v="1"/>
    <s v="Brainstorming"/>
    <n v="3.06"/>
    <n v="3.16"/>
    <n v="0.10000000000000009"/>
    <n v="14"/>
    <x v="0"/>
    <n v="8"/>
    <s v="Tamil Nadu"/>
    <s v="Teen"/>
  </r>
  <r>
    <s v="STU-2760"/>
    <n v="24"/>
    <s v="Data Science"/>
    <x v="3"/>
    <n v="2"/>
    <s v="Exam Prep"/>
    <n v="3.61"/>
    <n v="3.91"/>
    <n v="0.30000000000000027"/>
    <n v="8"/>
    <x v="2"/>
    <n v="6"/>
    <s v="Odisha"/>
    <s v="Adult"/>
  </r>
  <r>
    <s v="STU-2834"/>
    <n v="18"/>
    <s v="Business Administration"/>
    <x v="2"/>
    <n v="7"/>
    <s v="Exam Prep"/>
    <n v="3.33"/>
    <n v="3.53"/>
    <n v="0.19999999999999973"/>
    <n v="5"/>
    <x v="1"/>
    <n v="8"/>
    <s v="Bihar"/>
    <s v="Teen"/>
  </r>
  <r>
    <s v="STU-7609"/>
    <n v="25"/>
    <s v="Data Science"/>
    <x v="0"/>
    <n v="8"/>
    <s v="Essay Drafting"/>
    <n v="3.62"/>
    <n v="3.72"/>
    <n v="0.10000000000000009"/>
    <n v="8"/>
    <x v="2"/>
    <n v="8"/>
    <s v="Bihar"/>
    <s v="Adult"/>
  </r>
  <r>
    <s v="STU-6482"/>
    <n v="22"/>
    <s v="Fine Arts"/>
    <x v="4"/>
    <n v="8"/>
    <s v="Essay Drafting"/>
    <n v="3.79"/>
    <n v="3.79"/>
    <n v="0"/>
    <n v="4"/>
    <x v="1"/>
    <n v="3"/>
    <s v="Telangana"/>
    <s v="Young Adult"/>
  </r>
  <r>
    <s v="STU-3193"/>
    <n v="23"/>
    <s v="Software Engineering"/>
    <x v="0"/>
    <n v="9"/>
    <s v="Exam Prep"/>
    <n v="2.78"/>
    <n v="2.78"/>
    <n v="0"/>
    <n v="12"/>
    <x v="0"/>
    <n v="9"/>
    <s v="Andhra Pradesh"/>
    <s v="Adult"/>
  </r>
  <r>
    <s v="STU-2743"/>
    <n v="18"/>
    <s v="Biology"/>
    <x v="1"/>
    <n v="7"/>
    <s v="Essay Drafting"/>
    <n v="3.97"/>
    <n v="4"/>
    <n v="2.9999999999999805E-2"/>
    <n v="12"/>
    <x v="0"/>
    <n v="8"/>
    <s v="Andhra Pradesh"/>
    <s v="Teen"/>
  </r>
  <r>
    <s v="STU-7966"/>
    <n v="23"/>
    <s v="Fine Arts"/>
    <x v="3"/>
    <n v="7"/>
    <s v="Exam Prep"/>
    <n v="2.81"/>
    <n v="3.11"/>
    <n v="0.29999999999999982"/>
    <n v="4"/>
    <x v="1"/>
    <n v="5"/>
    <s v="Delhi"/>
    <s v="Adult"/>
  </r>
  <r>
    <s v="STU-6979"/>
    <n v="19"/>
    <s v="Data Science"/>
    <x v="3"/>
    <n v="8"/>
    <s v="Code Debugging"/>
    <n v="3.14"/>
    <n v="3.04"/>
    <n v="-0.10000000000000009"/>
    <n v="10"/>
    <x v="0"/>
    <n v="3"/>
    <s v="Haryana"/>
    <s v="Teen"/>
  </r>
  <r>
    <s v="STU-3335"/>
    <n v="22"/>
    <s v="Modern History"/>
    <x v="1"/>
    <n v="10"/>
    <s v="Code Debugging"/>
    <n v="2.58"/>
    <n v="2.88"/>
    <n v="0.29999999999999982"/>
    <n v="7"/>
    <x v="2"/>
    <n v="4"/>
    <s v="Gujarat"/>
    <s v="Young Adult"/>
  </r>
  <r>
    <s v="STU-3973"/>
    <n v="24"/>
    <s v="Biology"/>
    <x v="2"/>
    <n v="10"/>
    <s v="Code Debugging"/>
    <n v="2.5099999999999998"/>
    <n v="2.81"/>
    <n v="0.30000000000000027"/>
    <n v="11"/>
    <x v="2"/>
    <n v="5"/>
    <s v="Uttar Pradesh"/>
    <s v="Adult"/>
  </r>
  <r>
    <s v="STU-8336"/>
    <n v="19"/>
    <s v="Software Engineering"/>
    <x v="0"/>
    <n v="4"/>
    <s v="Exam Prep"/>
    <n v="3.35"/>
    <n v="3.55"/>
    <n v="0.19999999999999973"/>
    <n v="2"/>
    <x v="0"/>
    <n v="7"/>
    <s v="Gujarat"/>
    <s v="Teen"/>
  </r>
  <r>
    <s v="STU-0782"/>
    <n v="21"/>
    <s v="Data Science"/>
    <x v="1"/>
    <n v="6"/>
    <s v="Essay Drafting"/>
    <n v="2.91"/>
    <n v="3.11"/>
    <n v="0.19999999999999973"/>
    <n v="11"/>
    <x v="1"/>
    <n v="5"/>
    <s v="Karnataka"/>
    <s v="Young Adult"/>
  </r>
  <r>
    <s v="STU-9020"/>
    <n v="20"/>
    <s v="Data Science"/>
    <x v="0"/>
    <n v="2"/>
    <s v="Essay Drafting"/>
    <n v="4"/>
    <n v="4"/>
    <n v="0"/>
    <n v="14"/>
    <x v="0"/>
    <n v="3"/>
    <s v="Rajasthan"/>
    <s v="Young Adult"/>
  </r>
  <r>
    <s v="STU-7571"/>
    <n v="19"/>
    <s v="Business Administration"/>
    <x v="1"/>
    <n v="2"/>
    <s v="Code Debugging"/>
    <n v="2.99"/>
    <n v="2.89"/>
    <n v="-0.10000000000000009"/>
    <n v="2"/>
    <x v="0"/>
    <n v="4"/>
    <s v="Rajasthan"/>
    <s v="Teen"/>
  </r>
  <r>
    <s v="STU-2580"/>
    <n v="22"/>
    <s v="Software Engineering"/>
    <x v="3"/>
    <n v="4"/>
    <s v="Essay Drafting"/>
    <n v="2.75"/>
    <n v="2.65"/>
    <n v="-0.10000000000000009"/>
    <n v="7"/>
    <x v="1"/>
    <n v="6"/>
    <s v="Madhya Pradesh"/>
    <s v="Young Adult"/>
  </r>
  <r>
    <s v="STU-1448"/>
    <n v="21"/>
    <s v="Business Administration"/>
    <x v="2"/>
    <n v="6"/>
    <s v="Literature Review"/>
    <n v="3.2"/>
    <n v="3.4"/>
    <n v="0.19999999999999973"/>
    <n v="14"/>
    <x v="1"/>
    <n v="7"/>
    <s v="Andhra Pradesh"/>
    <s v="Young Adult"/>
  </r>
  <r>
    <s v="STU-4025"/>
    <n v="18"/>
    <s v="Biology"/>
    <x v="0"/>
    <n v="3"/>
    <s v="Essay Drafting"/>
    <n v="2.65"/>
    <n v="2.75"/>
    <n v="0.10000000000000009"/>
    <n v="11"/>
    <x v="1"/>
    <n v="4"/>
    <s v="Maharashtra"/>
    <s v="Teen"/>
  </r>
  <r>
    <s v="STU-3489"/>
    <n v="23"/>
    <s v="Data Science"/>
    <x v="1"/>
    <n v="7"/>
    <s v="Brainstorming"/>
    <n v="3.9"/>
    <n v="4"/>
    <n v="0.10000000000000009"/>
    <n v="3"/>
    <x v="0"/>
    <n v="4"/>
    <s v="Maharashtra"/>
    <s v="Adult"/>
  </r>
  <r>
    <s v="STU-6246"/>
    <n v="24"/>
    <s v="Data Science"/>
    <x v="3"/>
    <n v="4"/>
    <s v="Brainstorming"/>
    <n v="3.8"/>
    <n v="4"/>
    <n v="0.20000000000000018"/>
    <n v="7"/>
    <x v="1"/>
    <n v="5"/>
    <s v="Punjab"/>
    <s v="Adult"/>
  </r>
  <r>
    <s v="STU-6224"/>
    <n v="22"/>
    <s v="Business Administration"/>
    <x v="2"/>
    <n v="10"/>
    <s v="Brainstorming"/>
    <n v="2.69"/>
    <n v="2.79"/>
    <n v="0.10000000000000009"/>
    <n v="15"/>
    <x v="1"/>
    <n v="4"/>
    <s v="Telangana"/>
    <s v="Young Adult"/>
  </r>
  <r>
    <s v="STU-4488"/>
    <n v="20"/>
    <s v="Modern History"/>
    <x v="3"/>
    <n v="5"/>
    <s v="Code Debugging"/>
    <n v="3.78"/>
    <n v="3.98"/>
    <n v="0.20000000000000018"/>
    <n v="12"/>
    <x v="0"/>
    <n v="5"/>
    <s v="Tamil Nadu"/>
    <s v="Young Adult"/>
  </r>
  <r>
    <s v="STU-1895"/>
    <n v="23"/>
    <s v="Software Engineering"/>
    <x v="0"/>
    <n v="8"/>
    <s v="Literature Review"/>
    <n v="2.62"/>
    <n v="2.72"/>
    <n v="0.10000000000000009"/>
    <n v="14"/>
    <x v="0"/>
    <n v="10"/>
    <s v="West Bengal"/>
    <s v="Adult"/>
  </r>
  <r>
    <s v="STU-2071"/>
    <n v="21"/>
    <s v="Modern History"/>
    <x v="4"/>
    <n v="6"/>
    <s v="Code Debugging"/>
    <n v="3.23"/>
    <n v="3.23"/>
    <n v="0"/>
    <n v="3"/>
    <x v="1"/>
    <n v="9"/>
    <s v="Madhya Pradesh"/>
    <s v="Young Adult"/>
  </r>
  <r>
    <s v="STU-2897"/>
    <n v="20"/>
    <s v="Business Administration"/>
    <x v="4"/>
    <n v="2"/>
    <s v="Brainstorming"/>
    <n v="2.61"/>
    <n v="2.91"/>
    <n v="0.30000000000000027"/>
    <n v="13"/>
    <x v="0"/>
    <n v="5"/>
    <s v="Madhya Pradesh"/>
    <s v="Young Adult"/>
  </r>
  <r>
    <s v="STU-2549"/>
    <n v="19"/>
    <s v="Biology"/>
    <x v="2"/>
    <n v="6"/>
    <s v="Essay Drafting"/>
    <n v="3.12"/>
    <n v="3.12"/>
    <n v="0"/>
    <n v="12"/>
    <x v="2"/>
    <n v="7"/>
    <s v="Bihar"/>
    <s v="Teen"/>
  </r>
  <r>
    <s v="STU-1453"/>
    <n v="18"/>
    <s v="Data Science"/>
    <x v="0"/>
    <n v="6"/>
    <s v="Brainstorming"/>
    <n v="3.29"/>
    <n v="3.29"/>
    <n v="0"/>
    <n v="12"/>
    <x v="1"/>
    <n v="5"/>
    <s v="Delhi"/>
    <s v="Teen"/>
  </r>
  <r>
    <s v="STU-1635"/>
    <n v="23"/>
    <s v="Business Administration"/>
    <x v="0"/>
    <n v="8"/>
    <s v="Brainstorming"/>
    <n v="3.6"/>
    <n v="3.9"/>
    <n v="0.29999999999999982"/>
    <n v="3"/>
    <x v="0"/>
    <n v="7"/>
    <s v="Maharashtra"/>
    <s v="Adult"/>
  </r>
  <r>
    <s v="STU-1956"/>
    <n v="23"/>
    <s v="Business Administration"/>
    <x v="1"/>
    <n v="7"/>
    <s v="Code Debugging"/>
    <n v="3.42"/>
    <n v="3.62"/>
    <n v="0.20000000000000018"/>
    <n v="6"/>
    <x v="2"/>
    <n v="4"/>
    <s v="Punjab"/>
    <s v="Adult"/>
  </r>
  <r>
    <s v="STU-6474"/>
    <n v="19"/>
    <s v="Data Science"/>
    <x v="1"/>
    <n v="1"/>
    <s v="Exam Prep"/>
    <n v="2.61"/>
    <n v="2.5099999999999998"/>
    <n v="-0.10000000000000009"/>
    <n v="8"/>
    <x v="2"/>
    <n v="8"/>
    <s v="Kerala"/>
    <s v="Teen"/>
  </r>
  <r>
    <s v="STU-9724"/>
    <n v="18"/>
    <s v="Business Administration"/>
    <x v="4"/>
    <n v="8"/>
    <s v="Code Debugging"/>
    <n v="3.37"/>
    <n v="3.67"/>
    <n v="0.29999999999999982"/>
    <n v="4"/>
    <x v="2"/>
    <n v="6"/>
    <s v="Rajasthan"/>
    <s v="Teen"/>
  </r>
  <r>
    <s v="STU-6681"/>
    <n v="18"/>
    <s v="Fine Arts"/>
    <x v="2"/>
    <n v="2"/>
    <s v="Essay Drafting"/>
    <n v="3.44"/>
    <n v="3.74"/>
    <n v="0.30000000000000027"/>
    <n v="9"/>
    <x v="2"/>
    <n v="1"/>
    <s v="Telangana"/>
    <s v="Teen"/>
  </r>
  <r>
    <s v="STU-6737"/>
    <n v="23"/>
    <s v="Fine Arts"/>
    <x v="2"/>
    <n v="4"/>
    <s v="Exam Prep"/>
    <n v="2.82"/>
    <n v="2.92"/>
    <n v="0.10000000000000009"/>
    <n v="15"/>
    <x v="2"/>
    <n v="3"/>
    <s v="Odisha"/>
    <s v="Adult"/>
  </r>
  <r>
    <s v="STU-1279"/>
    <n v="22"/>
    <s v="Fine Arts"/>
    <x v="1"/>
    <n v="8"/>
    <s v="Exam Prep"/>
    <n v="3.63"/>
    <n v="3.63"/>
    <n v="0"/>
    <n v="5"/>
    <x v="2"/>
    <n v="6"/>
    <s v="Punjab"/>
    <s v="Young Adult"/>
  </r>
  <r>
    <s v="STU-5051"/>
    <n v="23"/>
    <s v="Fine Arts"/>
    <x v="2"/>
    <n v="2"/>
    <s v="Code Debugging"/>
    <n v="3.57"/>
    <n v="3.47"/>
    <n v="-9.9999999999999645E-2"/>
    <n v="11"/>
    <x v="0"/>
    <n v="9"/>
    <s v="Tamil Nadu"/>
    <s v="Adult"/>
  </r>
  <r>
    <s v="STU-5999"/>
    <n v="22"/>
    <s v="Business Administration"/>
    <x v="2"/>
    <n v="10"/>
    <s v="Exam Prep"/>
    <n v="3.82"/>
    <n v="3.92"/>
    <n v="0.10000000000000009"/>
    <n v="5"/>
    <x v="0"/>
    <n v="3"/>
    <s v="Tamil Nadu"/>
    <s v="Young Adult"/>
  </r>
  <r>
    <s v="STU-2823"/>
    <n v="25"/>
    <s v="Software Engineering"/>
    <x v="1"/>
    <n v="7"/>
    <s v="Literature Review"/>
    <n v="2.84"/>
    <n v="3.14"/>
    <n v="0.30000000000000027"/>
    <n v="12"/>
    <x v="2"/>
    <n v="8"/>
    <s v="Punjab"/>
    <s v="Adult"/>
  </r>
  <r>
    <s v="STU-3694"/>
    <n v="25"/>
    <s v="Software Engineering"/>
    <x v="1"/>
    <n v="7"/>
    <s v="Code Debugging"/>
    <n v="3.19"/>
    <n v="3.49"/>
    <n v="0.30000000000000027"/>
    <n v="8"/>
    <x v="1"/>
    <n v="6"/>
    <s v="Delhi"/>
    <s v="Adul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853FC-B424-401B-83D2-431B067A99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9:H21" firstHeaderRow="1" firstDataRow="1" firstDataCol="1"/>
  <pivotFields count="13">
    <pivotField dataField="1" showAll="0"/>
    <pivotField showAll="0"/>
    <pivotField showAll="0"/>
    <pivotField showAll="0"/>
    <pivotField showAll="0"/>
    <pivotField showAll="0"/>
    <pivotField showAll="0"/>
    <pivotField showAll="0"/>
    <pivotField showAll="0"/>
    <pivotField showAll="0"/>
    <pivotField axis="axisRow" showAll="0">
      <items count="4">
        <item h="1" x="1"/>
        <item h="1" x="2"/>
        <item x="0"/>
        <item t="default"/>
      </items>
    </pivotField>
    <pivotField showAll="0"/>
    <pivotField showAll="0"/>
  </pivotFields>
  <rowFields count="1">
    <field x="10"/>
  </rowFields>
  <rowItems count="2">
    <i>
      <x v="2"/>
    </i>
    <i t="grand">
      <x/>
    </i>
  </rowItems>
  <colItems count="1">
    <i/>
  </colItems>
  <dataFields count="1">
    <dataField name="Count of Student_ID" fld="0" subtotal="count" baseField="0" baseItem="0"/>
  </dataFields>
  <chartFormats count="8">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0" count="1" selected="0">
            <x v="0"/>
          </reference>
        </references>
      </pivotArea>
    </chartFormat>
    <chartFormat chart="8" format="6">
      <pivotArea type="data" outline="0" fieldPosition="0">
        <references count="2">
          <reference field="4294967294" count="1" selected="0">
            <x v="0"/>
          </reference>
          <reference field="10" count="1" selected="0">
            <x v="1"/>
          </reference>
        </references>
      </pivotArea>
    </chartFormat>
    <chartFormat chart="8" format="7">
      <pivotArea type="data" outline="0" fieldPosition="0">
        <references count="2">
          <reference field="4294967294" count="1" selected="0">
            <x v="0"/>
          </reference>
          <reference field="10"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0" count="1" selected="0">
            <x v="0"/>
          </reference>
        </references>
      </pivotArea>
    </chartFormat>
    <chartFormat chart="9" format="10">
      <pivotArea type="data" outline="0" fieldPosition="0">
        <references count="2">
          <reference field="4294967294" count="1" selected="0">
            <x v="0"/>
          </reference>
          <reference field="10" count="1" selected="0">
            <x v="1"/>
          </reference>
        </references>
      </pivotArea>
    </chartFormat>
    <chartFormat chart="9"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26554B-36AC-4A24-8B45-C5FD162083E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D20:E22" firstHeaderRow="1" firstDataRow="1" firstDataCol="1"/>
  <pivotFields count="13">
    <pivotField showAll="0"/>
    <pivotField showAll="0"/>
    <pivotField axis="axisRow" showAll="0">
      <items count="7">
        <item h="1" x="3"/>
        <item h="1" x="4"/>
        <item x="2"/>
        <item h="1" x="5"/>
        <item h="1" x="1"/>
        <item h="1" x="0"/>
        <item t="default"/>
      </items>
    </pivotField>
    <pivotField showAll="0"/>
    <pivotField showAll="0"/>
    <pivotField showAll="0"/>
    <pivotField showAll="0"/>
    <pivotField showAll="0"/>
    <pivotField showAll="0"/>
    <pivotField dataField="1" showAll="0"/>
    <pivotField showAll="0"/>
    <pivotField showAll="0"/>
    <pivotField showAll="0"/>
  </pivotFields>
  <rowFields count="1">
    <field x="2"/>
  </rowFields>
  <rowItems count="2">
    <i>
      <x v="2"/>
    </i>
    <i t="grand">
      <x/>
    </i>
  </rowItems>
  <colItems count="1">
    <i/>
  </colItems>
  <dataFields count="1">
    <dataField name="Average of Time_Saved_Hours_Weekly" fld="9" subtotal="average" baseField="2" baseItem="0"/>
  </dataFields>
  <chartFormats count="1">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9CC21D-B7E7-48C9-8453-A8C7F36E03A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
  <location ref="G2:H13" firstHeaderRow="1" firstDataRow="1" firstDataCol="1"/>
  <pivotFields count="13">
    <pivotField showAll="0"/>
    <pivotField showAll="0"/>
    <pivotField showAll="0"/>
    <pivotField showAll="0"/>
    <pivotField axis="axisRow" showAll="0">
      <items count="11">
        <item x="0"/>
        <item x="2"/>
        <item x="1"/>
        <item x="5"/>
        <item x="3"/>
        <item x="8"/>
        <item x="9"/>
        <item x="6"/>
        <item x="7"/>
        <item x="4"/>
        <item t="default"/>
      </items>
    </pivotField>
    <pivotField showAll="0"/>
    <pivotField showAll="0"/>
    <pivotField showAll="0"/>
    <pivotField dataField="1" showAll="0"/>
    <pivotField showAll="0"/>
    <pivotField showAll="0"/>
    <pivotField showAll="0"/>
    <pivotField showAll="0"/>
  </pivotFields>
  <rowFields count="1">
    <field x="4"/>
  </rowFields>
  <rowItems count="11">
    <i>
      <x/>
    </i>
    <i>
      <x v="1"/>
    </i>
    <i>
      <x v="2"/>
    </i>
    <i>
      <x v="3"/>
    </i>
    <i>
      <x v="4"/>
    </i>
    <i>
      <x v="5"/>
    </i>
    <i>
      <x v="6"/>
    </i>
    <i>
      <x v="7"/>
    </i>
    <i>
      <x v="8"/>
    </i>
    <i>
      <x v="9"/>
    </i>
    <i t="grand">
      <x/>
    </i>
  </rowItems>
  <colItems count="1">
    <i/>
  </colItems>
  <dataFields count="1">
    <dataField name="Sum of GPA Increase" fld="8"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BC809-E8C5-4CE6-B619-2CEDE3E7FEF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1:E17" firstHeaderRow="1" firstDataRow="1" firstDataCol="1"/>
  <pivotFields count="13">
    <pivotField showAll="0"/>
    <pivotField showAll="0"/>
    <pivotField showAll="0"/>
    <pivotField axis="axisRow" showAll="0">
      <items count="6">
        <item x="4"/>
        <item x="3"/>
        <item x="0"/>
        <item x="1"/>
        <item x="2"/>
        <item t="default"/>
      </items>
    </pivotField>
    <pivotField showAll="0"/>
    <pivotField showAll="0"/>
    <pivotField showAll="0"/>
    <pivotField showAll="0"/>
    <pivotField showAll="0"/>
    <pivotField showAll="0"/>
    <pivotField showAll="0"/>
    <pivotField dataField="1" showAll="0"/>
    <pivotField showAll="0"/>
  </pivotFields>
  <rowFields count="1">
    <field x="3"/>
  </rowFields>
  <rowItems count="6">
    <i>
      <x/>
    </i>
    <i>
      <x v="1"/>
    </i>
    <i>
      <x v="2"/>
    </i>
    <i>
      <x v="3"/>
    </i>
    <i>
      <x v="4"/>
    </i>
    <i t="grand">
      <x/>
    </i>
  </rowItems>
  <colItems count="1">
    <i/>
  </colItems>
  <dataFields count="1">
    <dataField name="Average of Career_Confidence_Score" fld="11" subtotal="average" baseField="3"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005692-FF58-4F7E-8A89-2C402B9C3D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B13" firstHeaderRow="1" firstDataRow="1" firstDataCol="1"/>
  <pivotFields count="13">
    <pivotField dataField="1" showAll="0"/>
    <pivotField showAll="0">
      <items count="9">
        <item h="1" x="2"/>
        <item h="1" x="3"/>
        <item h="1" x="4"/>
        <item h="1" x="6"/>
        <item h="1" x="1"/>
        <item x="0"/>
        <item h="1" x="5"/>
        <item h="1" x="7"/>
        <item t="default"/>
      </items>
    </pivotField>
    <pivotField showAll="0">
      <items count="7">
        <item x="3"/>
        <item x="4"/>
        <item x="2"/>
        <item x="5"/>
        <item x="1"/>
        <item x="0"/>
        <item t="default"/>
      </items>
    </pivotField>
    <pivotField showAll="0">
      <items count="6">
        <item x="4"/>
        <item h="1" x="3"/>
        <item h="1" x="0"/>
        <item h="1" x="1"/>
        <item h="1" x="2"/>
        <item t="default"/>
      </items>
    </pivotField>
    <pivotField showAll="0"/>
    <pivotField showAll="0"/>
    <pivotField showAll="0"/>
    <pivotField showAll="0"/>
    <pivotField showAll="0"/>
    <pivotField showAll="0"/>
    <pivotField showAll="0">
      <items count="4">
        <item x="1"/>
        <item x="2"/>
        <item x="0"/>
        <item t="default"/>
      </items>
    </pivotField>
    <pivotField showAll="0"/>
    <pivotField axis="axisRow" showAll="0">
      <items count="17">
        <item h="1" x="13"/>
        <item h="1" x="15"/>
        <item h="1" x="9"/>
        <item h="1" x="0"/>
        <item h="1" x="10"/>
        <item h="1" x="11"/>
        <item x="2"/>
        <item h="1" x="5"/>
        <item h="1" x="4"/>
        <item h="1" x="1"/>
        <item h="1" x="8"/>
        <item h="1" x="3"/>
        <item h="1" x="7"/>
        <item h="1" x="12"/>
        <item h="1" x="6"/>
        <item h="1" x="14"/>
        <item t="default"/>
      </items>
    </pivotField>
  </pivotFields>
  <rowFields count="1">
    <field x="12"/>
  </rowFields>
  <rowItems count="2">
    <i>
      <x v="6"/>
    </i>
    <i t="grand">
      <x/>
    </i>
  </rowItems>
  <colItems count="1">
    <i/>
  </colItems>
  <dataFields count="1">
    <dataField name="Count of Stu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1248EE-BF30-4433-8613-C9996DBC89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D4" firstHeaderRow="0" firstDataRow="1" firstDataCol="1"/>
  <pivotFields count="13">
    <pivotField showAll="0"/>
    <pivotField showAll="0"/>
    <pivotField showAll="0">
      <items count="7">
        <item x="3"/>
        <item x="4"/>
        <item x="2"/>
        <item x="5"/>
        <item x="1"/>
        <item x="0"/>
        <item t="default"/>
      </items>
    </pivotField>
    <pivotField axis="axisRow" showAll="0">
      <items count="6">
        <item x="4"/>
        <item h="1" x="3"/>
        <item h="1" x="0"/>
        <item h="1" x="1"/>
        <item h="1" x="2"/>
        <item t="default"/>
      </items>
    </pivotField>
    <pivotField showAll="0"/>
    <pivotField showAll="0"/>
    <pivotField dataField="1" showAll="0"/>
    <pivotField dataField="1" showAll="0"/>
    <pivotField dataField="1" showAll="0"/>
    <pivotField showAll="0"/>
    <pivotField showAll="0">
      <items count="4">
        <item x="1"/>
        <item x="2"/>
        <item x="0"/>
        <item t="default"/>
      </items>
    </pivotField>
    <pivotField showAll="0">
      <items count="11">
        <item x="5"/>
        <item x="8"/>
        <item x="0"/>
        <item x="1"/>
        <item x="3"/>
        <item x="9"/>
        <item x="2"/>
        <item x="6"/>
        <item x="4"/>
        <item x="7"/>
        <item t="default"/>
      </items>
    </pivotField>
    <pivotField showAll="0">
      <items count="17">
        <item h="1" x="13"/>
        <item h="1" x="15"/>
        <item x="9"/>
        <item h="1" x="0"/>
        <item h="1" x="10"/>
        <item h="1" x="11"/>
        <item h="1" x="2"/>
        <item h="1" x="5"/>
        <item h="1" x="4"/>
        <item h="1" x="1"/>
        <item h="1" x="8"/>
        <item h="1" x="3"/>
        <item h="1" x="7"/>
        <item h="1" x="12"/>
        <item h="1" x="6"/>
        <item h="1" x="14"/>
        <item t="default"/>
      </items>
    </pivotField>
  </pivotFields>
  <rowFields count="1">
    <field x="3"/>
  </rowFields>
  <rowItems count="2">
    <i>
      <x/>
    </i>
    <i t="grand">
      <x/>
    </i>
  </rowItems>
  <colFields count="1">
    <field x="-2"/>
  </colFields>
  <colItems count="3">
    <i>
      <x/>
    </i>
    <i i="1">
      <x v="1"/>
    </i>
    <i i="2">
      <x v="2"/>
    </i>
  </colItems>
  <dataFields count="3">
    <dataField name="Average of GPA Increase" fld="8" subtotal="average" baseField="3" baseItem="0"/>
    <dataField name="Average of GPA_Baseline" fld="6" subtotal="average" baseField="3" baseItem="0"/>
    <dataField name="Average of GPA_Post_AI" fld="7" subtotal="average" baseField="3" baseItem="0"/>
  </dataFields>
  <chartFormats count="3">
    <chartFormat chart="22" format="9" series="1">
      <pivotArea type="data" outline="0" fieldPosition="0">
        <references count="1">
          <reference field="4294967294" count="1" selected="0">
            <x v="0"/>
          </reference>
        </references>
      </pivotArea>
    </chartFormat>
    <chartFormat chart="22" format="10" series="1">
      <pivotArea type="data" outline="0" fieldPosition="0">
        <references count="1">
          <reference field="4294967294" count="1" selected="0">
            <x v="1"/>
          </reference>
        </references>
      </pivotArea>
    </chartFormat>
    <chartFormat chart="2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478E54-239A-4C7F-9686-D30D661C888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4">
    <pivotField showAll="0"/>
    <pivotField showAll="0"/>
    <pivotField showAll="0"/>
    <pivotField axis="axisRow" dataField="1" showAll="0" sortType="de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3"/>
  </rowFields>
  <rowItems count="6">
    <i>
      <x v="3"/>
    </i>
    <i>
      <x v="1"/>
    </i>
    <i>
      <x v="4"/>
    </i>
    <i>
      <x v="2"/>
    </i>
    <i>
      <x/>
    </i>
    <i t="grand">
      <x/>
    </i>
  </rowItems>
  <colItems count="1">
    <i/>
  </colItems>
  <dataFields count="1">
    <dataField name="Count of Primary_AI_Tool" fld="3" subtotal="count" baseField="0" baseItem="0"/>
  </dataField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8E1425-9466-432B-A94F-B415413091D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0" firstHeaderRow="1" firstDataRow="1" firstDataCol="1"/>
  <pivotFields count="14">
    <pivotField showAll="0"/>
    <pivotField showAll="0"/>
    <pivotField axis="axisRow" dataField="1" showAll="0">
      <items count="7">
        <item x="3"/>
        <item x="4"/>
        <item x="2"/>
        <item x="5"/>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Majo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AI_Tool" xr10:uid="{AEC21AD9-80B0-49F0-848A-5BCE05311AAE}" sourceName="Primary_AI_Tool">
  <pivotTables>
    <pivotTable tabId="10" name="PivotTable2"/>
  </pivotTables>
  <data>
    <tabular pivotCacheId="1779192633">
      <items count="5">
        <i x="4" s="1"/>
        <i x="3"/>
        <i x="0"/>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_Ethics_Concern" xr10:uid="{359F0606-5C94-4886-AFC5-38F939D54274}" sourceName="AI_Ethics_Concern">
  <pivotTables>
    <pivotTable tabId="10" name="PivotTable7"/>
  </pivotTables>
  <data>
    <tabular pivotCacheId="1779192633">
      <items count="3">
        <i x="1"/>
        <i x="2"/>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 xr10:uid="{18CE8C33-ACB7-46FA-B963-D3C3265AB244}" sourceName="Major">
  <pivotTables>
    <pivotTable tabId="10" name="PivotTable1"/>
  </pivotTables>
  <data>
    <tabular pivotCacheId="1779192633">
      <items count="6">
        <i x="3"/>
        <i x="4"/>
        <i x="2" s="1"/>
        <i x="5"/>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_AI_Tool" xr10:uid="{0C31E63E-A4DC-47A2-B795-EAF19A7432E9}" cache="Slicer_Primary_AI_Tool" caption="Primary_AI_Tool" rowHeight="251883"/>
  <slicer name="AI_Ethics_Concern" xr10:uid="{5ED1EF09-3854-4D7E-91F5-BE4C07B67CEA}" cache="Slicer_AI_Ethics_Concern" caption="AI_Ethics_Concern" rowHeight="251883"/>
  <slicer name="Major" xr10:uid="{9F977C2A-D72D-44A3-87AE-7E6EC9C610C5}" cache="Slicer_Major" caption="Majo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25090C-D53F-491C-A921-33EB5B5991ED}" name="Table1" displayName="Table1" ref="A1:N500" totalsRowShown="0">
  <autoFilter ref="A1:N500" xr:uid="{A625090C-D53F-491C-A921-33EB5B5991ED}"/>
  <tableColumns count="14">
    <tableColumn id="1" xr3:uid="{38D9D7CA-7393-4A77-AF25-26EB88F637C7}" name="Student_ID"/>
    <tableColumn id="2" xr3:uid="{08F0174B-9B14-4233-9D7F-2B4A20C1469A}" name="Age"/>
    <tableColumn id="3" xr3:uid="{4179829F-C43B-41A7-A7E7-81D96656BDFE}" name="Major"/>
    <tableColumn id="4" xr3:uid="{EDE65CB7-2270-4A9C-B0CD-C71F152087D8}" name="Primary_AI_Tool"/>
    <tableColumn id="5" xr3:uid="{A0692047-E3A0-4570-842B-880D26667576}" name="Task_Frequency_Daily"/>
    <tableColumn id="6" xr3:uid="{DAB95D2B-C800-4430-9B22-AF3E840ADAD0}" name="Main_Usage_Case"/>
    <tableColumn id="7" xr3:uid="{EC1D4FB3-7D18-48AF-AE09-9673DF41D1A2}" name="GPA_Baseline"/>
    <tableColumn id="8" xr3:uid="{08DC075E-A2A4-4ABF-A79C-07CF0DDFAC9F}" name="GPA_Post_AI"/>
    <tableColumn id="9" xr3:uid="{E93A5146-0E05-4244-9754-77F517E6C77C}" name="GPA Increase">
      <calculatedColumnFormula>H2-G2</calculatedColumnFormula>
    </tableColumn>
    <tableColumn id="10" xr3:uid="{1D0F8775-DC79-4187-B2BB-06F3DB827954}" name="Time_Saved_Hours_Weekly"/>
    <tableColumn id="11" xr3:uid="{3A1356A8-76F5-48D8-B5B4-E027F1BD2D97}" name="AI_Ethics_Concern"/>
    <tableColumn id="12" xr3:uid="{5DE75C51-C0A1-4B71-A029-DD6A9A864C90}" name="Career_Confidence_Score"/>
    <tableColumn id="13" xr3:uid="{2164B482-3DF8-4A8A-965D-CC7B6C9E3C82}" name="State"/>
    <tableColumn id="14" xr3:uid="{1F087648-A4E4-4E0B-AA44-C59CE4B1B3AE}" name="Age groups" dataDxfId="0">
      <calculatedColumnFormula>IF(Table1[[#This Row],[Age]]&lt;20,"Teen",IF(Table1[[#This Row],[Age]]&lt;=22,"Young Adult","Adult"))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398C-322E-49F8-9AC7-3131F0AF6727}">
  <dimension ref="A1:S500"/>
  <sheetViews>
    <sheetView topLeftCell="J1" zoomScale="89" workbookViewId="0">
      <selection activeCell="S8" sqref="S8"/>
    </sheetView>
  </sheetViews>
  <sheetFormatPr defaultRowHeight="14.5" x14ac:dyDescent="0.35"/>
  <cols>
    <col min="1" max="1" width="11.6328125" customWidth="1"/>
    <col min="3" max="3" width="14.81640625" customWidth="1"/>
    <col min="4" max="4" width="15.36328125" customWidth="1"/>
    <col min="5" max="5" width="20.6328125" customWidth="1"/>
    <col min="6" max="6" width="17.6328125" customWidth="1"/>
    <col min="7" max="7" width="16" bestFit="1" customWidth="1"/>
    <col min="8" max="8" width="15" bestFit="1" customWidth="1"/>
    <col min="9" max="9" width="15.54296875" bestFit="1" customWidth="1"/>
    <col min="10" max="10" width="24.54296875" customWidth="1"/>
    <col min="11" max="11" width="17.7265625" customWidth="1"/>
    <col min="12" max="12" width="25.08984375" customWidth="1"/>
    <col min="13" max="13" width="15.81640625" customWidth="1"/>
    <col min="14" max="14" width="11.54296875" customWidth="1"/>
    <col min="18" max="18" width="30.08984375" customWidth="1"/>
    <col min="19" max="19" width="19.453125" customWidth="1"/>
  </cols>
  <sheetData>
    <row r="1" spans="1:19" x14ac:dyDescent="0.35">
      <c r="A1" t="s">
        <v>0</v>
      </c>
      <c r="B1" t="s">
        <v>1</v>
      </c>
      <c r="C1" t="s">
        <v>2</v>
      </c>
      <c r="D1" t="s">
        <v>3</v>
      </c>
      <c r="E1" t="s">
        <v>4</v>
      </c>
      <c r="F1" t="s">
        <v>5</v>
      </c>
      <c r="G1" t="s">
        <v>6</v>
      </c>
      <c r="H1" t="s">
        <v>7</v>
      </c>
      <c r="I1" t="s">
        <v>550</v>
      </c>
      <c r="J1" t="s">
        <v>8</v>
      </c>
      <c r="K1" t="s">
        <v>9</v>
      </c>
      <c r="L1" t="s">
        <v>10</v>
      </c>
      <c r="M1" t="s">
        <v>11</v>
      </c>
      <c r="N1" t="s">
        <v>556</v>
      </c>
    </row>
    <row r="2" spans="1:19" x14ac:dyDescent="0.35">
      <c r="A2" t="s">
        <v>12</v>
      </c>
      <c r="B2">
        <v>23</v>
      </c>
      <c r="C2" t="s">
        <v>13</v>
      </c>
      <c r="D2" t="s">
        <v>14</v>
      </c>
      <c r="E2">
        <v>1</v>
      </c>
      <c r="F2" t="s">
        <v>15</v>
      </c>
      <c r="G2">
        <v>2.62</v>
      </c>
      <c r="H2">
        <v>2.62</v>
      </c>
      <c r="I2">
        <f>H2-G2</f>
        <v>0</v>
      </c>
      <c r="J2">
        <v>9</v>
      </c>
      <c r="K2" t="s">
        <v>16</v>
      </c>
      <c r="L2">
        <v>3</v>
      </c>
      <c r="M2" t="s">
        <v>17</v>
      </c>
      <c r="N2" t="str">
        <f>IF(Table1[[#This Row],[Age]]&lt;20,"Teen",IF(Table1[[#This Row],[Age]]&lt;=22,"Young Adult","Adult"))</f>
        <v>Adult</v>
      </c>
    </row>
    <row r="3" spans="1:19" x14ac:dyDescent="0.35">
      <c r="A3" t="s">
        <v>18</v>
      </c>
      <c r="B3">
        <v>22</v>
      </c>
      <c r="C3" t="s">
        <v>19</v>
      </c>
      <c r="D3" t="s">
        <v>20</v>
      </c>
      <c r="E3">
        <v>3</v>
      </c>
      <c r="F3" t="s">
        <v>21</v>
      </c>
      <c r="G3">
        <v>3.99</v>
      </c>
      <c r="H3">
        <v>4</v>
      </c>
      <c r="I3">
        <f t="shared" ref="I3:I66" si="0">H3-G3</f>
        <v>9.9999999999997868E-3</v>
      </c>
      <c r="J3">
        <v>7</v>
      </c>
      <c r="K3" t="s">
        <v>16</v>
      </c>
      <c r="L3">
        <v>4</v>
      </c>
      <c r="M3" t="s">
        <v>22</v>
      </c>
      <c r="N3" t="str">
        <f>IF(Table1[[#This Row],[Age]]&lt;20,"Teen",IF(Table1[[#This Row],[Age]]&lt;=22,"Young Adult","Adult"))</f>
        <v>Young Adult</v>
      </c>
    </row>
    <row r="4" spans="1:19" x14ac:dyDescent="0.35">
      <c r="A4" t="s">
        <v>23</v>
      </c>
      <c r="B4">
        <v>18</v>
      </c>
      <c r="C4" t="s">
        <v>24</v>
      </c>
      <c r="D4" t="s">
        <v>25</v>
      </c>
      <c r="E4">
        <v>2</v>
      </c>
      <c r="F4" t="s">
        <v>26</v>
      </c>
      <c r="G4">
        <v>2.57</v>
      </c>
      <c r="H4">
        <v>2.57</v>
      </c>
      <c r="I4">
        <f t="shared" si="0"/>
        <v>0</v>
      </c>
      <c r="J4">
        <v>15</v>
      </c>
      <c r="K4" t="s">
        <v>27</v>
      </c>
      <c r="L4">
        <v>7</v>
      </c>
      <c r="M4" t="s">
        <v>28</v>
      </c>
      <c r="N4" t="str">
        <f>IF(Table1[[#This Row],[Age]]&lt;20,"Teen",IF(Table1[[#This Row],[Age]]&lt;=22,"Young Adult","Adult"))</f>
        <v>Teen</v>
      </c>
    </row>
    <row r="5" spans="1:19" x14ac:dyDescent="0.35">
      <c r="A5" t="s">
        <v>29</v>
      </c>
      <c r="B5">
        <v>19</v>
      </c>
      <c r="C5" t="s">
        <v>30</v>
      </c>
      <c r="D5" t="s">
        <v>31</v>
      </c>
      <c r="E5">
        <v>5</v>
      </c>
      <c r="F5" t="s">
        <v>21</v>
      </c>
      <c r="G5">
        <v>2.67</v>
      </c>
      <c r="H5">
        <v>2.87</v>
      </c>
      <c r="I5">
        <f t="shared" si="0"/>
        <v>0.20000000000000018</v>
      </c>
      <c r="J5">
        <v>12</v>
      </c>
      <c r="K5" t="s">
        <v>32</v>
      </c>
      <c r="L5">
        <v>5</v>
      </c>
      <c r="M5" t="s">
        <v>22</v>
      </c>
      <c r="N5" t="str">
        <f>IF(Table1[[#This Row],[Age]]&lt;20,"Teen",IF(Table1[[#This Row],[Age]]&lt;=22,"Young Adult","Adult"))</f>
        <v>Teen</v>
      </c>
    </row>
    <row r="6" spans="1:19" x14ac:dyDescent="0.35">
      <c r="A6" t="s">
        <v>33</v>
      </c>
      <c r="B6">
        <v>19</v>
      </c>
      <c r="C6" t="s">
        <v>30</v>
      </c>
      <c r="D6" t="s">
        <v>34</v>
      </c>
      <c r="E6">
        <v>10</v>
      </c>
      <c r="F6" t="s">
        <v>15</v>
      </c>
      <c r="G6">
        <v>3.65</v>
      </c>
      <c r="H6">
        <v>3.85</v>
      </c>
      <c r="I6">
        <f t="shared" si="0"/>
        <v>0.20000000000000018</v>
      </c>
      <c r="J6">
        <v>5</v>
      </c>
      <c r="K6" t="s">
        <v>27</v>
      </c>
      <c r="L6">
        <v>9</v>
      </c>
      <c r="M6" t="s">
        <v>35</v>
      </c>
      <c r="N6" t="str">
        <f>IF(Table1[[#This Row],[Age]]&lt;20,"Teen",IF(Table1[[#This Row],[Age]]&lt;=22,"Young Adult","Adult"))</f>
        <v>Teen</v>
      </c>
    </row>
    <row r="7" spans="1:19" x14ac:dyDescent="0.35">
      <c r="A7" t="s">
        <v>36</v>
      </c>
      <c r="B7">
        <v>19</v>
      </c>
      <c r="C7" t="s">
        <v>13</v>
      </c>
      <c r="D7" t="s">
        <v>34</v>
      </c>
      <c r="E7">
        <v>4</v>
      </c>
      <c r="F7" t="s">
        <v>21</v>
      </c>
      <c r="G7">
        <v>3.21</v>
      </c>
      <c r="H7">
        <v>3.41</v>
      </c>
      <c r="I7">
        <f t="shared" si="0"/>
        <v>0.20000000000000018</v>
      </c>
      <c r="J7">
        <v>8</v>
      </c>
      <c r="K7" t="s">
        <v>16</v>
      </c>
      <c r="L7">
        <v>4</v>
      </c>
      <c r="M7" t="s">
        <v>37</v>
      </c>
      <c r="N7" t="str">
        <f>IF(Table1[[#This Row],[Age]]&lt;20,"Teen",IF(Table1[[#This Row],[Age]]&lt;=22,"Young Adult","Adult"))</f>
        <v>Teen</v>
      </c>
    </row>
    <row r="8" spans="1:19" x14ac:dyDescent="0.35">
      <c r="A8" t="s">
        <v>38</v>
      </c>
      <c r="B8">
        <v>19</v>
      </c>
      <c r="C8" t="s">
        <v>39</v>
      </c>
      <c r="D8" t="s">
        <v>20</v>
      </c>
      <c r="E8">
        <v>1</v>
      </c>
      <c r="F8" t="s">
        <v>40</v>
      </c>
      <c r="G8">
        <v>3.87</v>
      </c>
      <c r="H8">
        <v>3.97</v>
      </c>
      <c r="I8">
        <f t="shared" si="0"/>
        <v>0.10000000000000009</v>
      </c>
      <c r="J8">
        <v>7</v>
      </c>
      <c r="K8" t="s">
        <v>32</v>
      </c>
      <c r="L8">
        <v>1</v>
      </c>
      <c r="M8" t="s">
        <v>17</v>
      </c>
      <c r="N8" t="str">
        <f>IF(Table1[[#This Row],[Age]]&lt;20,"Teen",IF(Table1[[#This Row],[Age]]&lt;=22,"Young Adult","Adult"))</f>
        <v>Teen</v>
      </c>
      <c r="R8" t="s">
        <v>557</v>
      </c>
      <c r="S8">
        <f>COUNTA(Table1[Student_ID])</f>
        <v>499</v>
      </c>
    </row>
    <row r="9" spans="1:19" x14ac:dyDescent="0.35">
      <c r="A9" t="s">
        <v>41</v>
      </c>
      <c r="B9">
        <v>20</v>
      </c>
      <c r="C9" t="s">
        <v>42</v>
      </c>
      <c r="D9" t="s">
        <v>25</v>
      </c>
      <c r="E9">
        <v>3</v>
      </c>
      <c r="F9" t="s">
        <v>40</v>
      </c>
      <c r="G9">
        <v>3.18</v>
      </c>
      <c r="H9">
        <v>3.08</v>
      </c>
      <c r="I9">
        <f t="shared" si="0"/>
        <v>-0.10000000000000009</v>
      </c>
      <c r="J9">
        <v>2</v>
      </c>
      <c r="K9" t="s">
        <v>16</v>
      </c>
      <c r="L9">
        <v>9</v>
      </c>
      <c r="M9" t="s">
        <v>43</v>
      </c>
      <c r="N9" t="str">
        <f>IF(Table1[[#This Row],[Age]]&lt;20,"Teen",IF(Table1[[#This Row],[Age]]&lt;=22,"Young Adult","Adult"))</f>
        <v>Young Adult</v>
      </c>
      <c r="R9" t="s">
        <v>558</v>
      </c>
      <c r="S9" s="4">
        <f>AVERAGE(Table1[GPA Increase])</f>
        <v>8.1543086172344653E-2</v>
      </c>
    </row>
    <row r="10" spans="1:19" x14ac:dyDescent="0.35">
      <c r="A10" t="s">
        <v>44</v>
      </c>
      <c r="B10">
        <v>20</v>
      </c>
      <c r="C10" t="s">
        <v>42</v>
      </c>
      <c r="D10" t="s">
        <v>34</v>
      </c>
      <c r="E10">
        <v>1</v>
      </c>
      <c r="F10" t="s">
        <v>26</v>
      </c>
      <c r="G10">
        <v>3.25</v>
      </c>
      <c r="H10">
        <v>3.35</v>
      </c>
      <c r="I10">
        <f t="shared" si="0"/>
        <v>0.10000000000000009</v>
      </c>
      <c r="J10">
        <v>13</v>
      </c>
      <c r="K10" t="s">
        <v>16</v>
      </c>
      <c r="L10">
        <v>8</v>
      </c>
      <c r="M10" t="s">
        <v>45</v>
      </c>
      <c r="N10" t="str">
        <f>IF(Table1[[#This Row],[Age]]&lt;20,"Teen",IF(Table1[[#This Row],[Age]]&lt;=22,"Young Adult","Adult"))</f>
        <v>Young Adult</v>
      </c>
      <c r="R10" t="s">
        <v>559</v>
      </c>
      <c r="S10" s="3">
        <f>AVERAGE(Table1[Time_Saved_Hours_Weekly])</f>
        <v>8.4348697394789571</v>
      </c>
    </row>
    <row r="11" spans="1:19" x14ac:dyDescent="0.35">
      <c r="A11" t="s">
        <v>46</v>
      </c>
      <c r="B11">
        <v>19</v>
      </c>
      <c r="C11" t="s">
        <v>42</v>
      </c>
      <c r="D11" t="s">
        <v>20</v>
      </c>
      <c r="E11">
        <v>5</v>
      </c>
      <c r="F11" t="s">
        <v>40</v>
      </c>
      <c r="G11">
        <v>3.43</v>
      </c>
      <c r="H11">
        <v>3.33</v>
      </c>
      <c r="I11">
        <f t="shared" si="0"/>
        <v>-0.10000000000000009</v>
      </c>
      <c r="J11">
        <v>10</v>
      </c>
      <c r="K11" t="s">
        <v>16</v>
      </c>
      <c r="L11">
        <v>3</v>
      </c>
      <c r="M11" t="s">
        <v>22</v>
      </c>
      <c r="N11" t="str">
        <f>IF(Table1[[#This Row],[Age]]&lt;20,"Teen",IF(Table1[[#This Row],[Age]]&lt;=22,"Young Adult","Adult"))</f>
        <v>Teen</v>
      </c>
      <c r="R11" t="s">
        <v>561</v>
      </c>
      <c r="S11" s="3">
        <f>AVERAGE(Table1[Career_Confidence_Score])</f>
        <v>5.5751503006012024</v>
      </c>
    </row>
    <row r="12" spans="1:19" x14ac:dyDescent="0.35">
      <c r="A12" t="s">
        <v>47</v>
      </c>
      <c r="B12">
        <v>20</v>
      </c>
      <c r="C12" t="s">
        <v>42</v>
      </c>
      <c r="D12" t="s">
        <v>20</v>
      </c>
      <c r="E12">
        <v>2</v>
      </c>
      <c r="F12" t="s">
        <v>21</v>
      </c>
      <c r="G12">
        <v>3.32</v>
      </c>
      <c r="H12">
        <v>3.42</v>
      </c>
      <c r="I12">
        <f t="shared" si="0"/>
        <v>0.10000000000000009</v>
      </c>
      <c r="J12">
        <v>8</v>
      </c>
      <c r="K12" t="s">
        <v>27</v>
      </c>
      <c r="L12">
        <v>4</v>
      </c>
      <c r="M12" t="s">
        <v>48</v>
      </c>
      <c r="N12" t="str">
        <f>IF(Table1[[#This Row],[Age]]&lt;20,"Teen",IF(Table1[[#This Row],[Age]]&lt;=22,"Young Adult","Adult"))</f>
        <v>Young Adult</v>
      </c>
    </row>
    <row r="13" spans="1:19" x14ac:dyDescent="0.35">
      <c r="A13" t="s">
        <v>49</v>
      </c>
      <c r="B13">
        <v>24</v>
      </c>
      <c r="C13" t="s">
        <v>13</v>
      </c>
      <c r="D13" t="s">
        <v>31</v>
      </c>
      <c r="E13">
        <v>4</v>
      </c>
      <c r="F13" t="s">
        <v>21</v>
      </c>
      <c r="G13">
        <v>2.93</v>
      </c>
      <c r="H13">
        <v>3.23</v>
      </c>
      <c r="I13">
        <f t="shared" si="0"/>
        <v>0.29999999999999982</v>
      </c>
      <c r="J13">
        <v>6</v>
      </c>
      <c r="K13" t="s">
        <v>32</v>
      </c>
      <c r="L13">
        <v>10</v>
      </c>
      <c r="M13" t="s">
        <v>50</v>
      </c>
      <c r="N13" t="str">
        <f>IF(Table1[[#This Row],[Age]]&lt;20,"Teen",IF(Table1[[#This Row],[Age]]&lt;=22,"Young Adult","Adult"))</f>
        <v>Adult</v>
      </c>
    </row>
    <row r="14" spans="1:19" x14ac:dyDescent="0.35">
      <c r="A14" t="s">
        <v>51</v>
      </c>
      <c r="B14">
        <v>23</v>
      </c>
      <c r="C14" t="s">
        <v>19</v>
      </c>
      <c r="D14" t="s">
        <v>34</v>
      </c>
      <c r="E14">
        <v>1</v>
      </c>
      <c r="F14" t="s">
        <v>15</v>
      </c>
      <c r="G14">
        <v>3.55</v>
      </c>
      <c r="H14">
        <v>3.75</v>
      </c>
      <c r="I14">
        <f t="shared" si="0"/>
        <v>0.20000000000000018</v>
      </c>
      <c r="J14">
        <v>6</v>
      </c>
      <c r="K14" t="s">
        <v>32</v>
      </c>
      <c r="L14">
        <v>4</v>
      </c>
      <c r="M14" t="s">
        <v>52</v>
      </c>
      <c r="N14" t="str">
        <f>IF(Table1[[#This Row],[Age]]&lt;20,"Teen",IF(Table1[[#This Row],[Age]]&lt;=22,"Young Adult","Adult"))</f>
        <v>Adult</v>
      </c>
    </row>
    <row r="15" spans="1:19" x14ac:dyDescent="0.35">
      <c r="A15" t="s">
        <v>53</v>
      </c>
      <c r="B15">
        <v>18</v>
      </c>
      <c r="C15" t="s">
        <v>30</v>
      </c>
      <c r="D15" t="s">
        <v>20</v>
      </c>
      <c r="E15">
        <v>5</v>
      </c>
      <c r="F15" t="s">
        <v>21</v>
      </c>
      <c r="G15">
        <v>3.9</v>
      </c>
      <c r="H15">
        <v>4</v>
      </c>
      <c r="I15">
        <f t="shared" si="0"/>
        <v>0.10000000000000009</v>
      </c>
      <c r="J15">
        <v>14</v>
      </c>
      <c r="K15" t="s">
        <v>32</v>
      </c>
      <c r="L15">
        <v>3</v>
      </c>
      <c r="M15" t="s">
        <v>52</v>
      </c>
      <c r="N15" t="str">
        <f>IF(Table1[[#This Row],[Age]]&lt;20,"Teen",IF(Table1[[#This Row],[Age]]&lt;=22,"Young Adult","Adult"))</f>
        <v>Teen</v>
      </c>
    </row>
    <row r="16" spans="1:19" x14ac:dyDescent="0.35">
      <c r="A16" t="s">
        <v>54</v>
      </c>
      <c r="B16">
        <v>18</v>
      </c>
      <c r="C16" t="s">
        <v>42</v>
      </c>
      <c r="D16" t="s">
        <v>31</v>
      </c>
      <c r="E16">
        <v>4</v>
      </c>
      <c r="F16" t="s">
        <v>40</v>
      </c>
      <c r="G16">
        <v>3.88</v>
      </c>
      <c r="H16">
        <v>3.88</v>
      </c>
      <c r="I16">
        <f t="shared" si="0"/>
        <v>0</v>
      </c>
      <c r="J16">
        <v>5</v>
      </c>
      <c r="K16" t="s">
        <v>32</v>
      </c>
      <c r="L16">
        <v>5</v>
      </c>
      <c r="M16" t="s">
        <v>35</v>
      </c>
      <c r="N16" t="str">
        <f>IF(Table1[[#This Row],[Age]]&lt;20,"Teen",IF(Table1[[#This Row],[Age]]&lt;=22,"Young Adult","Adult"))</f>
        <v>Teen</v>
      </c>
    </row>
    <row r="17" spans="1:18" x14ac:dyDescent="0.35">
      <c r="A17" t="s">
        <v>55</v>
      </c>
      <c r="B17">
        <v>23</v>
      </c>
      <c r="C17" t="s">
        <v>24</v>
      </c>
      <c r="D17" t="s">
        <v>20</v>
      </c>
      <c r="E17">
        <v>4</v>
      </c>
      <c r="F17" t="s">
        <v>56</v>
      </c>
      <c r="G17">
        <v>3.99</v>
      </c>
      <c r="H17">
        <v>4</v>
      </c>
      <c r="I17">
        <f t="shared" si="0"/>
        <v>9.9999999999997868E-3</v>
      </c>
      <c r="J17">
        <v>15</v>
      </c>
      <c r="K17" t="s">
        <v>27</v>
      </c>
      <c r="L17">
        <v>9</v>
      </c>
      <c r="M17" t="s">
        <v>22</v>
      </c>
      <c r="N17" t="str">
        <f>IF(Table1[[#This Row],[Age]]&lt;20,"Teen",IF(Table1[[#This Row],[Age]]&lt;=22,"Young Adult","Adult"))</f>
        <v>Adult</v>
      </c>
      <c r="R17" s="5" t="s">
        <v>3</v>
      </c>
    </row>
    <row r="18" spans="1:18" x14ac:dyDescent="0.35">
      <c r="A18" t="s">
        <v>57</v>
      </c>
      <c r="B18">
        <v>21</v>
      </c>
      <c r="C18" t="s">
        <v>19</v>
      </c>
      <c r="D18" t="s">
        <v>34</v>
      </c>
      <c r="E18">
        <v>4</v>
      </c>
      <c r="F18" t="s">
        <v>15</v>
      </c>
      <c r="G18">
        <v>3.32</v>
      </c>
      <c r="H18">
        <v>3.32</v>
      </c>
      <c r="I18">
        <f t="shared" si="0"/>
        <v>0</v>
      </c>
      <c r="J18">
        <v>5</v>
      </c>
      <c r="K18" t="s">
        <v>32</v>
      </c>
      <c r="L18">
        <v>9</v>
      </c>
      <c r="M18" t="s">
        <v>50</v>
      </c>
      <c r="N18" t="str">
        <f>IF(Table1[[#This Row],[Age]]&lt;20,"Teen",IF(Table1[[#This Row],[Age]]&lt;=22,"Young Adult","Adult"))</f>
        <v>Young Adult</v>
      </c>
      <c r="R18" s="5" t="s">
        <v>4</v>
      </c>
    </row>
    <row r="19" spans="1:18" x14ac:dyDescent="0.35">
      <c r="A19" t="s">
        <v>58</v>
      </c>
      <c r="B19">
        <v>20</v>
      </c>
      <c r="C19" t="s">
        <v>39</v>
      </c>
      <c r="D19" t="s">
        <v>25</v>
      </c>
      <c r="E19">
        <v>5</v>
      </c>
      <c r="F19" t="s">
        <v>15</v>
      </c>
      <c r="G19">
        <v>2.66</v>
      </c>
      <c r="H19">
        <v>2.76</v>
      </c>
      <c r="I19">
        <f t="shared" si="0"/>
        <v>9.9999999999999645E-2</v>
      </c>
      <c r="J19">
        <v>13</v>
      </c>
      <c r="K19" t="s">
        <v>27</v>
      </c>
      <c r="L19">
        <v>5</v>
      </c>
      <c r="M19" t="s">
        <v>17</v>
      </c>
      <c r="N19" t="str">
        <f>IF(Table1[[#This Row],[Age]]&lt;20,"Teen",IF(Table1[[#This Row],[Age]]&lt;=22,"Young Adult","Adult"))</f>
        <v>Young Adult</v>
      </c>
      <c r="R19" s="5" t="s">
        <v>5</v>
      </c>
    </row>
    <row r="20" spans="1:18" x14ac:dyDescent="0.35">
      <c r="A20" t="s">
        <v>59</v>
      </c>
      <c r="B20">
        <v>23</v>
      </c>
      <c r="C20" t="s">
        <v>30</v>
      </c>
      <c r="D20" t="s">
        <v>20</v>
      </c>
      <c r="E20">
        <v>10</v>
      </c>
      <c r="F20" t="s">
        <v>15</v>
      </c>
      <c r="G20">
        <v>3.14</v>
      </c>
      <c r="H20">
        <v>3.14</v>
      </c>
      <c r="I20">
        <f t="shared" si="0"/>
        <v>0</v>
      </c>
      <c r="J20">
        <v>2</v>
      </c>
      <c r="K20" t="s">
        <v>27</v>
      </c>
      <c r="L20">
        <v>10</v>
      </c>
      <c r="M20" t="s">
        <v>60</v>
      </c>
      <c r="N20" t="str">
        <f>IF(Table1[[#This Row],[Age]]&lt;20,"Teen",IF(Table1[[#This Row],[Age]]&lt;=22,"Young Adult","Adult"))</f>
        <v>Adult</v>
      </c>
      <c r="R20" s="5" t="s">
        <v>6</v>
      </c>
    </row>
    <row r="21" spans="1:18" x14ac:dyDescent="0.35">
      <c r="A21" t="s">
        <v>61</v>
      </c>
      <c r="B21">
        <v>19</v>
      </c>
      <c r="C21" t="s">
        <v>30</v>
      </c>
      <c r="D21" t="s">
        <v>20</v>
      </c>
      <c r="E21">
        <v>1</v>
      </c>
      <c r="F21" t="s">
        <v>21</v>
      </c>
      <c r="G21">
        <v>3.54</v>
      </c>
      <c r="H21">
        <v>3.64</v>
      </c>
      <c r="I21">
        <f t="shared" si="0"/>
        <v>0.10000000000000009</v>
      </c>
      <c r="J21">
        <v>6</v>
      </c>
      <c r="K21" t="s">
        <v>27</v>
      </c>
      <c r="L21">
        <v>3</v>
      </c>
      <c r="M21" t="s">
        <v>22</v>
      </c>
      <c r="N21" t="str">
        <f>IF(Table1[[#This Row],[Age]]&lt;20,"Teen",IF(Table1[[#This Row],[Age]]&lt;=22,"Young Adult","Adult"))</f>
        <v>Teen</v>
      </c>
      <c r="R21" s="5" t="s">
        <v>7</v>
      </c>
    </row>
    <row r="22" spans="1:18" x14ac:dyDescent="0.35">
      <c r="A22" t="s">
        <v>62</v>
      </c>
      <c r="B22">
        <v>21</v>
      </c>
      <c r="C22" t="s">
        <v>13</v>
      </c>
      <c r="D22" t="s">
        <v>20</v>
      </c>
      <c r="E22">
        <v>5</v>
      </c>
      <c r="F22" t="s">
        <v>56</v>
      </c>
      <c r="G22">
        <v>2.56</v>
      </c>
      <c r="H22">
        <v>2.46</v>
      </c>
      <c r="I22">
        <f t="shared" si="0"/>
        <v>-0.10000000000000009</v>
      </c>
      <c r="J22">
        <v>3</v>
      </c>
      <c r="K22" t="s">
        <v>27</v>
      </c>
      <c r="L22">
        <v>1</v>
      </c>
      <c r="M22" t="s">
        <v>35</v>
      </c>
      <c r="N22" t="str">
        <f>IF(Table1[[#This Row],[Age]]&lt;20,"Teen",IF(Table1[[#This Row],[Age]]&lt;=22,"Young Adult","Adult"))</f>
        <v>Young Adult</v>
      </c>
      <c r="R22" s="5" t="s">
        <v>550</v>
      </c>
    </row>
    <row r="23" spans="1:18" x14ac:dyDescent="0.35">
      <c r="A23" t="s">
        <v>63</v>
      </c>
      <c r="B23">
        <v>19</v>
      </c>
      <c r="C23" t="s">
        <v>30</v>
      </c>
      <c r="D23" t="s">
        <v>14</v>
      </c>
      <c r="E23">
        <v>10</v>
      </c>
      <c r="F23" t="s">
        <v>56</v>
      </c>
      <c r="G23">
        <v>3.03</v>
      </c>
      <c r="H23">
        <v>3.03</v>
      </c>
      <c r="I23">
        <f t="shared" si="0"/>
        <v>0</v>
      </c>
      <c r="J23">
        <v>2</v>
      </c>
      <c r="K23" t="s">
        <v>32</v>
      </c>
      <c r="L23">
        <v>5</v>
      </c>
      <c r="M23" t="s">
        <v>64</v>
      </c>
      <c r="N23" t="str">
        <f>IF(Table1[[#This Row],[Age]]&lt;20,"Teen",IF(Table1[[#This Row],[Age]]&lt;=22,"Young Adult","Adult"))</f>
        <v>Teen</v>
      </c>
      <c r="R23" s="5" t="s">
        <v>8</v>
      </c>
    </row>
    <row r="24" spans="1:18" x14ac:dyDescent="0.35">
      <c r="A24" t="s">
        <v>65</v>
      </c>
      <c r="B24">
        <v>22</v>
      </c>
      <c r="C24" t="s">
        <v>13</v>
      </c>
      <c r="D24" t="s">
        <v>34</v>
      </c>
      <c r="E24">
        <v>3</v>
      </c>
      <c r="F24" t="s">
        <v>15</v>
      </c>
      <c r="G24">
        <v>3.45</v>
      </c>
      <c r="H24">
        <v>3.65</v>
      </c>
      <c r="I24">
        <f t="shared" si="0"/>
        <v>0.19999999999999973</v>
      </c>
      <c r="J24">
        <v>7</v>
      </c>
      <c r="K24" t="s">
        <v>27</v>
      </c>
      <c r="L24">
        <v>8</v>
      </c>
      <c r="M24" t="s">
        <v>66</v>
      </c>
      <c r="N24" t="str">
        <f>IF(Table1[[#This Row],[Age]]&lt;20,"Teen",IF(Table1[[#This Row],[Age]]&lt;=22,"Young Adult","Adult"))</f>
        <v>Young Adult</v>
      </c>
      <c r="R24" s="5" t="s">
        <v>9</v>
      </c>
    </row>
    <row r="25" spans="1:18" x14ac:dyDescent="0.35">
      <c r="A25" t="s">
        <v>67</v>
      </c>
      <c r="B25">
        <v>21</v>
      </c>
      <c r="C25" t="s">
        <v>30</v>
      </c>
      <c r="D25" t="s">
        <v>20</v>
      </c>
      <c r="E25">
        <v>4</v>
      </c>
      <c r="F25" t="s">
        <v>56</v>
      </c>
      <c r="G25">
        <v>3.04</v>
      </c>
      <c r="H25">
        <v>3.24</v>
      </c>
      <c r="I25">
        <f t="shared" si="0"/>
        <v>0.20000000000000018</v>
      </c>
      <c r="J25">
        <v>10</v>
      </c>
      <c r="K25" t="s">
        <v>16</v>
      </c>
      <c r="L25">
        <v>2</v>
      </c>
      <c r="M25" t="s">
        <v>22</v>
      </c>
      <c r="N25" t="str">
        <f>IF(Table1[[#This Row],[Age]]&lt;20,"Teen",IF(Table1[[#This Row],[Age]]&lt;=22,"Young Adult","Adult"))</f>
        <v>Young Adult</v>
      </c>
      <c r="R25" s="5" t="s">
        <v>10</v>
      </c>
    </row>
    <row r="26" spans="1:18" x14ac:dyDescent="0.35">
      <c r="A26" t="s">
        <v>68</v>
      </c>
      <c r="B26">
        <v>23</v>
      </c>
      <c r="C26" t="s">
        <v>39</v>
      </c>
      <c r="D26" t="s">
        <v>14</v>
      </c>
      <c r="E26">
        <v>2</v>
      </c>
      <c r="F26" t="s">
        <v>56</v>
      </c>
      <c r="G26">
        <v>2.99</v>
      </c>
      <c r="H26">
        <v>3.19</v>
      </c>
      <c r="I26">
        <f t="shared" si="0"/>
        <v>0.19999999999999973</v>
      </c>
      <c r="J26">
        <v>13</v>
      </c>
      <c r="K26" t="s">
        <v>32</v>
      </c>
      <c r="L26">
        <v>7</v>
      </c>
      <c r="M26" t="s">
        <v>66</v>
      </c>
      <c r="N26" t="str">
        <f>IF(Table1[[#This Row],[Age]]&lt;20,"Teen",IF(Table1[[#This Row],[Age]]&lt;=22,"Young Adult","Adult"))</f>
        <v>Adult</v>
      </c>
      <c r="R26" s="5" t="s">
        <v>11</v>
      </c>
    </row>
    <row r="27" spans="1:18" x14ac:dyDescent="0.35">
      <c r="A27" t="s">
        <v>69</v>
      </c>
      <c r="B27">
        <v>23</v>
      </c>
      <c r="C27" t="s">
        <v>19</v>
      </c>
      <c r="D27" t="s">
        <v>31</v>
      </c>
      <c r="E27">
        <v>3</v>
      </c>
      <c r="F27" t="s">
        <v>56</v>
      </c>
      <c r="G27">
        <v>3.28</v>
      </c>
      <c r="H27">
        <v>3.18</v>
      </c>
      <c r="I27">
        <f t="shared" si="0"/>
        <v>-9.9999999999999645E-2</v>
      </c>
      <c r="J27">
        <v>4</v>
      </c>
      <c r="K27" t="s">
        <v>16</v>
      </c>
      <c r="L27">
        <v>5</v>
      </c>
      <c r="M27" t="s">
        <v>48</v>
      </c>
      <c r="N27" t="str">
        <f>IF(Table1[[#This Row],[Age]]&lt;20,"Teen",IF(Table1[[#This Row],[Age]]&lt;=22,"Young Adult","Adult"))</f>
        <v>Adult</v>
      </c>
      <c r="R27" s="6" t="s">
        <v>556</v>
      </c>
    </row>
    <row r="28" spans="1:18" x14ac:dyDescent="0.35">
      <c r="A28" t="s">
        <v>70</v>
      </c>
      <c r="B28">
        <v>22</v>
      </c>
      <c r="C28" t="s">
        <v>39</v>
      </c>
      <c r="D28" t="s">
        <v>31</v>
      </c>
      <c r="E28">
        <v>5</v>
      </c>
      <c r="F28" t="s">
        <v>21</v>
      </c>
      <c r="G28">
        <v>2.79</v>
      </c>
      <c r="H28">
        <v>2.89</v>
      </c>
      <c r="I28">
        <f t="shared" si="0"/>
        <v>0.10000000000000009</v>
      </c>
      <c r="J28">
        <v>5</v>
      </c>
      <c r="K28" t="s">
        <v>16</v>
      </c>
      <c r="L28">
        <v>1</v>
      </c>
      <c r="M28" t="s">
        <v>35</v>
      </c>
      <c r="N28" t="str">
        <f>IF(Table1[[#This Row],[Age]]&lt;20,"Teen",IF(Table1[[#This Row],[Age]]&lt;=22,"Young Adult","Adult"))</f>
        <v>Young Adult</v>
      </c>
    </row>
    <row r="29" spans="1:18" x14ac:dyDescent="0.35">
      <c r="A29" t="s">
        <v>71</v>
      </c>
      <c r="B29">
        <v>22</v>
      </c>
      <c r="C29" t="s">
        <v>24</v>
      </c>
      <c r="D29" t="s">
        <v>20</v>
      </c>
      <c r="E29">
        <v>3</v>
      </c>
      <c r="F29" t="s">
        <v>15</v>
      </c>
      <c r="G29">
        <v>3.41</v>
      </c>
      <c r="H29">
        <v>3.31</v>
      </c>
      <c r="I29">
        <f t="shared" si="0"/>
        <v>-0.10000000000000009</v>
      </c>
      <c r="J29">
        <v>2</v>
      </c>
      <c r="K29" t="s">
        <v>32</v>
      </c>
      <c r="L29">
        <v>5</v>
      </c>
      <c r="M29" t="s">
        <v>50</v>
      </c>
      <c r="N29" t="str">
        <f>IF(Table1[[#This Row],[Age]]&lt;20,"Teen",IF(Table1[[#This Row],[Age]]&lt;=22,"Young Adult","Adult"))</f>
        <v>Young Adult</v>
      </c>
    </row>
    <row r="30" spans="1:18" x14ac:dyDescent="0.35">
      <c r="A30" t="s">
        <v>72</v>
      </c>
      <c r="B30">
        <v>20</v>
      </c>
      <c r="C30" t="s">
        <v>42</v>
      </c>
      <c r="D30" t="s">
        <v>20</v>
      </c>
      <c r="E30">
        <v>1</v>
      </c>
      <c r="F30" t="s">
        <v>40</v>
      </c>
      <c r="G30">
        <v>3.67</v>
      </c>
      <c r="H30">
        <v>3.67</v>
      </c>
      <c r="I30">
        <f t="shared" si="0"/>
        <v>0</v>
      </c>
      <c r="J30">
        <v>11</v>
      </c>
      <c r="K30" t="s">
        <v>27</v>
      </c>
      <c r="L30">
        <v>2</v>
      </c>
      <c r="M30" t="s">
        <v>37</v>
      </c>
      <c r="N30" t="str">
        <f>IF(Table1[[#This Row],[Age]]&lt;20,"Teen",IF(Table1[[#This Row],[Age]]&lt;=22,"Young Adult","Adult"))</f>
        <v>Young Adult</v>
      </c>
    </row>
    <row r="31" spans="1:18" x14ac:dyDescent="0.35">
      <c r="A31" t="s">
        <v>73</v>
      </c>
      <c r="B31">
        <v>23</v>
      </c>
      <c r="C31" t="s">
        <v>19</v>
      </c>
      <c r="D31" t="s">
        <v>14</v>
      </c>
      <c r="E31">
        <v>8</v>
      </c>
      <c r="F31" t="s">
        <v>26</v>
      </c>
      <c r="G31">
        <v>2.76</v>
      </c>
      <c r="H31">
        <v>2.66</v>
      </c>
      <c r="I31">
        <f t="shared" si="0"/>
        <v>-9.9999999999999645E-2</v>
      </c>
      <c r="J31">
        <v>14</v>
      </c>
      <c r="K31" t="s">
        <v>27</v>
      </c>
      <c r="L31">
        <v>4</v>
      </c>
      <c r="M31" t="s">
        <v>74</v>
      </c>
      <c r="N31" t="str">
        <f>IF(Table1[[#This Row],[Age]]&lt;20,"Teen",IF(Table1[[#This Row],[Age]]&lt;=22,"Young Adult","Adult"))</f>
        <v>Adult</v>
      </c>
    </row>
    <row r="32" spans="1:18" x14ac:dyDescent="0.35">
      <c r="A32" t="s">
        <v>75</v>
      </c>
      <c r="B32">
        <v>24</v>
      </c>
      <c r="C32" t="s">
        <v>30</v>
      </c>
      <c r="D32" t="s">
        <v>14</v>
      </c>
      <c r="E32">
        <v>4</v>
      </c>
      <c r="F32" t="s">
        <v>15</v>
      </c>
      <c r="G32">
        <v>3.08</v>
      </c>
      <c r="H32">
        <v>3.18</v>
      </c>
      <c r="I32">
        <f t="shared" si="0"/>
        <v>0.10000000000000009</v>
      </c>
      <c r="J32">
        <v>4</v>
      </c>
      <c r="K32" t="s">
        <v>32</v>
      </c>
      <c r="L32">
        <v>8</v>
      </c>
      <c r="M32" t="s">
        <v>35</v>
      </c>
      <c r="N32" t="str">
        <f>IF(Table1[[#This Row],[Age]]&lt;20,"Teen",IF(Table1[[#This Row],[Age]]&lt;=22,"Young Adult","Adult"))</f>
        <v>Adult</v>
      </c>
    </row>
    <row r="33" spans="1:14" x14ac:dyDescent="0.35">
      <c r="A33" t="s">
        <v>76</v>
      </c>
      <c r="B33">
        <v>18</v>
      </c>
      <c r="C33" t="s">
        <v>39</v>
      </c>
      <c r="D33" t="s">
        <v>34</v>
      </c>
      <c r="E33">
        <v>1</v>
      </c>
      <c r="F33" t="s">
        <v>56</v>
      </c>
      <c r="G33">
        <v>3.57</v>
      </c>
      <c r="H33">
        <v>3.67</v>
      </c>
      <c r="I33">
        <f t="shared" si="0"/>
        <v>0.10000000000000009</v>
      </c>
      <c r="J33">
        <v>3</v>
      </c>
      <c r="K33" t="s">
        <v>27</v>
      </c>
      <c r="L33">
        <v>4</v>
      </c>
      <c r="M33" t="s">
        <v>43</v>
      </c>
      <c r="N33" t="str">
        <f>IF(Table1[[#This Row],[Age]]&lt;20,"Teen",IF(Table1[[#This Row],[Age]]&lt;=22,"Young Adult","Adult"))</f>
        <v>Teen</v>
      </c>
    </row>
    <row r="34" spans="1:14" x14ac:dyDescent="0.35">
      <c r="A34" t="s">
        <v>77</v>
      </c>
      <c r="B34">
        <v>20</v>
      </c>
      <c r="C34" t="s">
        <v>39</v>
      </c>
      <c r="D34" t="s">
        <v>31</v>
      </c>
      <c r="E34">
        <v>10</v>
      </c>
      <c r="F34" t="s">
        <v>56</v>
      </c>
      <c r="G34">
        <v>2.9</v>
      </c>
      <c r="H34">
        <v>3.1</v>
      </c>
      <c r="I34">
        <f t="shared" si="0"/>
        <v>0.20000000000000018</v>
      </c>
      <c r="J34">
        <v>13</v>
      </c>
      <c r="K34" t="s">
        <v>32</v>
      </c>
      <c r="L34">
        <v>6</v>
      </c>
      <c r="M34" t="s">
        <v>37</v>
      </c>
      <c r="N34" t="str">
        <f>IF(Table1[[#This Row],[Age]]&lt;20,"Teen",IF(Table1[[#This Row],[Age]]&lt;=22,"Young Adult","Adult"))</f>
        <v>Young Adult</v>
      </c>
    </row>
    <row r="35" spans="1:14" x14ac:dyDescent="0.35">
      <c r="A35" t="s">
        <v>78</v>
      </c>
      <c r="B35">
        <v>21</v>
      </c>
      <c r="C35" t="s">
        <v>30</v>
      </c>
      <c r="D35" t="s">
        <v>14</v>
      </c>
      <c r="E35">
        <v>3</v>
      </c>
      <c r="F35" t="s">
        <v>26</v>
      </c>
      <c r="G35">
        <v>3.47</v>
      </c>
      <c r="H35">
        <v>3.47</v>
      </c>
      <c r="I35">
        <f t="shared" si="0"/>
        <v>0</v>
      </c>
      <c r="J35">
        <v>12</v>
      </c>
      <c r="K35" t="s">
        <v>16</v>
      </c>
      <c r="L35">
        <v>8</v>
      </c>
      <c r="M35" t="s">
        <v>52</v>
      </c>
      <c r="N35" t="str">
        <f>IF(Table1[[#This Row],[Age]]&lt;20,"Teen",IF(Table1[[#This Row],[Age]]&lt;=22,"Young Adult","Adult"))</f>
        <v>Young Adult</v>
      </c>
    </row>
    <row r="36" spans="1:14" x14ac:dyDescent="0.35">
      <c r="A36" t="s">
        <v>79</v>
      </c>
      <c r="B36">
        <v>23</v>
      </c>
      <c r="C36" t="s">
        <v>24</v>
      </c>
      <c r="D36" t="s">
        <v>14</v>
      </c>
      <c r="E36">
        <v>3</v>
      </c>
      <c r="F36" t="s">
        <v>15</v>
      </c>
      <c r="G36">
        <v>3.04</v>
      </c>
      <c r="H36">
        <v>3.24</v>
      </c>
      <c r="I36">
        <f t="shared" si="0"/>
        <v>0.20000000000000018</v>
      </c>
      <c r="J36">
        <v>9</v>
      </c>
      <c r="K36" t="s">
        <v>32</v>
      </c>
      <c r="L36">
        <v>9</v>
      </c>
      <c r="M36" t="s">
        <v>60</v>
      </c>
      <c r="N36" t="str">
        <f>IF(Table1[[#This Row],[Age]]&lt;20,"Teen",IF(Table1[[#This Row],[Age]]&lt;=22,"Young Adult","Adult"))</f>
        <v>Adult</v>
      </c>
    </row>
    <row r="37" spans="1:14" x14ac:dyDescent="0.35">
      <c r="A37" t="s">
        <v>80</v>
      </c>
      <c r="B37">
        <v>22</v>
      </c>
      <c r="C37" t="s">
        <v>39</v>
      </c>
      <c r="D37" t="s">
        <v>31</v>
      </c>
      <c r="E37">
        <v>4</v>
      </c>
      <c r="F37" t="s">
        <v>15</v>
      </c>
      <c r="G37">
        <v>3.27</v>
      </c>
      <c r="H37">
        <v>3.17</v>
      </c>
      <c r="I37">
        <f t="shared" si="0"/>
        <v>-0.10000000000000009</v>
      </c>
      <c r="J37">
        <v>11</v>
      </c>
      <c r="K37" t="s">
        <v>27</v>
      </c>
      <c r="L37">
        <v>7</v>
      </c>
      <c r="M37" t="s">
        <v>22</v>
      </c>
      <c r="N37" t="str">
        <f>IF(Table1[[#This Row],[Age]]&lt;20,"Teen",IF(Table1[[#This Row],[Age]]&lt;=22,"Young Adult","Adult"))</f>
        <v>Young Adult</v>
      </c>
    </row>
    <row r="38" spans="1:14" x14ac:dyDescent="0.35">
      <c r="A38" t="s">
        <v>81</v>
      </c>
      <c r="B38">
        <v>21</v>
      </c>
      <c r="C38" t="s">
        <v>13</v>
      </c>
      <c r="D38" t="s">
        <v>31</v>
      </c>
      <c r="E38">
        <v>9</v>
      </c>
      <c r="F38" t="s">
        <v>56</v>
      </c>
      <c r="G38">
        <v>2.56</v>
      </c>
      <c r="H38">
        <v>2.86</v>
      </c>
      <c r="I38">
        <f t="shared" si="0"/>
        <v>0.29999999999999982</v>
      </c>
      <c r="J38">
        <v>15</v>
      </c>
      <c r="K38" t="s">
        <v>16</v>
      </c>
      <c r="L38">
        <v>4</v>
      </c>
      <c r="M38" t="s">
        <v>52</v>
      </c>
      <c r="N38" t="str">
        <f>IF(Table1[[#This Row],[Age]]&lt;20,"Teen",IF(Table1[[#This Row],[Age]]&lt;=22,"Young Adult","Adult"))</f>
        <v>Young Adult</v>
      </c>
    </row>
    <row r="39" spans="1:14" x14ac:dyDescent="0.35">
      <c r="A39" t="s">
        <v>82</v>
      </c>
      <c r="B39">
        <v>24</v>
      </c>
      <c r="C39" t="s">
        <v>30</v>
      </c>
      <c r="D39" t="s">
        <v>20</v>
      </c>
      <c r="E39">
        <v>6</v>
      </c>
      <c r="F39" t="s">
        <v>21</v>
      </c>
      <c r="G39">
        <v>2.89</v>
      </c>
      <c r="H39">
        <v>3.19</v>
      </c>
      <c r="I39">
        <f t="shared" si="0"/>
        <v>0.29999999999999982</v>
      </c>
      <c r="J39">
        <v>11</v>
      </c>
      <c r="K39" t="s">
        <v>32</v>
      </c>
      <c r="L39">
        <v>1</v>
      </c>
      <c r="M39" t="s">
        <v>66</v>
      </c>
      <c r="N39" t="str">
        <f>IF(Table1[[#This Row],[Age]]&lt;20,"Teen",IF(Table1[[#This Row],[Age]]&lt;=22,"Young Adult","Adult"))</f>
        <v>Adult</v>
      </c>
    </row>
    <row r="40" spans="1:14" x14ac:dyDescent="0.35">
      <c r="A40" t="s">
        <v>83</v>
      </c>
      <c r="B40">
        <v>22</v>
      </c>
      <c r="C40" t="s">
        <v>30</v>
      </c>
      <c r="D40" t="s">
        <v>20</v>
      </c>
      <c r="E40">
        <v>8</v>
      </c>
      <c r="F40" t="s">
        <v>15</v>
      </c>
      <c r="G40">
        <v>3.82</v>
      </c>
      <c r="H40">
        <v>3.72</v>
      </c>
      <c r="I40">
        <f t="shared" si="0"/>
        <v>-9.9999999999999645E-2</v>
      </c>
      <c r="J40">
        <v>11</v>
      </c>
      <c r="K40" t="s">
        <v>16</v>
      </c>
      <c r="L40">
        <v>9</v>
      </c>
      <c r="M40" t="s">
        <v>74</v>
      </c>
      <c r="N40" t="str">
        <f>IF(Table1[[#This Row],[Age]]&lt;20,"Teen",IF(Table1[[#This Row],[Age]]&lt;=22,"Young Adult","Adult"))</f>
        <v>Young Adult</v>
      </c>
    </row>
    <row r="41" spans="1:14" x14ac:dyDescent="0.35">
      <c r="A41" t="s">
        <v>84</v>
      </c>
      <c r="B41">
        <v>23</v>
      </c>
      <c r="C41" t="s">
        <v>39</v>
      </c>
      <c r="D41" t="s">
        <v>14</v>
      </c>
      <c r="E41">
        <v>4</v>
      </c>
      <c r="F41" t="s">
        <v>56</v>
      </c>
      <c r="G41">
        <v>3.99</v>
      </c>
      <c r="H41">
        <v>4</v>
      </c>
      <c r="I41">
        <f t="shared" si="0"/>
        <v>9.9999999999997868E-3</v>
      </c>
      <c r="J41">
        <v>2</v>
      </c>
      <c r="K41" t="s">
        <v>32</v>
      </c>
      <c r="L41">
        <v>3</v>
      </c>
      <c r="M41" t="s">
        <v>45</v>
      </c>
      <c r="N41" t="str">
        <f>IF(Table1[[#This Row],[Age]]&lt;20,"Teen",IF(Table1[[#This Row],[Age]]&lt;=22,"Young Adult","Adult"))</f>
        <v>Adult</v>
      </c>
    </row>
    <row r="42" spans="1:14" x14ac:dyDescent="0.35">
      <c r="A42" t="s">
        <v>85</v>
      </c>
      <c r="B42">
        <v>22</v>
      </c>
      <c r="C42" t="s">
        <v>42</v>
      </c>
      <c r="D42" t="s">
        <v>31</v>
      </c>
      <c r="E42">
        <v>3</v>
      </c>
      <c r="F42" t="s">
        <v>15</v>
      </c>
      <c r="G42">
        <v>3.46</v>
      </c>
      <c r="H42">
        <v>3.76</v>
      </c>
      <c r="I42">
        <f t="shared" si="0"/>
        <v>0.29999999999999982</v>
      </c>
      <c r="J42">
        <v>3</v>
      </c>
      <c r="K42" t="s">
        <v>16</v>
      </c>
      <c r="L42">
        <v>8</v>
      </c>
      <c r="M42" t="s">
        <v>48</v>
      </c>
      <c r="N42" t="str">
        <f>IF(Table1[[#This Row],[Age]]&lt;20,"Teen",IF(Table1[[#This Row],[Age]]&lt;=22,"Young Adult","Adult"))</f>
        <v>Young Adult</v>
      </c>
    </row>
    <row r="43" spans="1:14" x14ac:dyDescent="0.35">
      <c r="A43" t="s">
        <v>86</v>
      </c>
      <c r="B43">
        <v>20</v>
      </c>
      <c r="C43" t="s">
        <v>42</v>
      </c>
      <c r="D43" t="s">
        <v>20</v>
      </c>
      <c r="E43">
        <v>5</v>
      </c>
      <c r="F43" t="s">
        <v>21</v>
      </c>
      <c r="G43">
        <v>2.89</v>
      </c>
      <c r="H43">
        <v>2.79</v>
      </c>
      <c r="I43">
        <f t="shared" si="0"/>
        <v>-0.10000000000000009</v>
      </c>
      <c r="J43">
        <v>7</v>
      </c>
      <c r="K43" t="s">
        <v>27</v>
      </c>
      <c r="L43">
        <v>7</v>
      </c>
      <c r="M43" t="s">
        <v>87</v>
      </c>
      <c r="N43" t="str">
        <f>IF(Table1[[#This Row],[Age]]&lt;20,"Teen",IF(Table1[[#This Row],[Age]]&lt;=22,"Young Adult","Adult"))</f>
        <v>Young Adult</v>
      </c>
    </row>
    <row r="44" spans="1:14" x14ac:dyDescent="0.35">
      <c r="A44" t="s">
        <v>88</v>
      </c>
      <c r="B44">
        <v>20</v>
      </c>
      <c r="C44" t="s">
        <v>39</v>
      </c>
      <c r="D44" t="s">
        <v>20</v>
      </c>
      <c r="E44">
        <v>7</v>
      </c>
      <c r="F44" t="s">
        <v>15</v>
      </c>
      <c r="G44">
        <v>2.99</v>
      </c>
      <c r="H44">
        <v>3.19</v>
      </c>
      <c r="I44">
        <f t="shared" si="0"/>
        <v>0.19999999999999973</v>
      </c>
      <c r="J44">
        <v>3</v>
      </c>
      <c r="K44" t="s">
        <v>32</v>
      </c>
      <c r="L44">
        <v>3</v>
      </c>
      <c r="M44" t="s">
        <v>28</v>
      </c>
      <c r="N44" t="str">
        <f>IF(Table1[[#This Row],[Age]]&lt;20,"Teen",IF(Table1[[#This Row],[Age]]&lt;=22,"Young Adult","Adult"))</f>
        <v>Young Adult</v>
      </c>
    </row>
    <row r="45" spans="1:14" x14ac:dyDescent="0.35">
      <c r="A45" t="s">
        <v>89</v>
      </c>
      <c r="B45">
        <v>21</v>
      </c>
      <c r="C45" t="s">
        <v>30</v>
      </c>
      <c r="D45" t="s">
        <v>20</v>
      </c>
      <c r="E45">
        <v>10</v>
      </c>
      <c r="F45" t="s">
        <v>26</v>
      </c>
      <c r="G45">
        <v>2.84</v>
      </c>
      <c r="H45">
        <v>2.84</v>
      </c>
      <c r="I45">
        <f t="shared" si="0"/>
        <v>0</v>
      </c>
      <c r="J45">
        <v>5</v>
      </c>
      <c r="K45" t="s">
        <v>32</v>
      </c>
      <c r="L45">
        <v>4</v>
      </c>
      <c r="M45" t="s">
        <v>43</v>
      </c>
      <c r="N45" t="str">
        <f>IF(Table1[[#This Row],[Age]]&lt;20,"Teen",IF(Table1[[#This Row],[Age]]&lt;=22,"Young Adult","Adult"))</f>
        <v>Young Adult</v>
      </c>
    </row>
    <row r="46" spans="1:14" x14ac:dyDescent="0.35">
      <c r="A46" t="s">
        <v>90</v>
      </c>
      <c r="B46">
        <v>23</v>
      </c>
      <c r="C46" t="s">
        <v>39</v>
      </c>
      <c r="D46" t="s">
        <v>14</v>
      </c>
      <c r="E46">
        <v>8</v>
      </c>
      <c r="F46" t="s">
        <v>40</v>
      </c>
      <c r="G46">
        <v>2.77</v>
      </c>
      <c r="H46">
        <v>2.67</v>
      </c>
      <c r="I46">
        <f t="shared" si="0"/>
        <v>-0.10000000000000009</v>
      </c>
      <c r="J46">
        <v>12</v>
      </c>
      <c r="K46" t="s">
        <v>32</v>
      </c>
      <c r="L46">
        <v>2</v>
      </c>
      <c r="M46" t="s">
        <v>74</v>
      </c>
      <c r="N46" t="str">
        <f>IF(Table1[[#This Row],[Age]]&lt;20,"Teen",IF(Table1[[#This Row],[Age]]&lt;=22,"Young Adult","Adult"))</f>
        <v>Adult</v>
      </c>
    </row>
    <row r="47" spans="1:14" x14ac:dyDescent="0.35">
      <c r="A47" t="s">
        <v>91</v>
      </c>
      <c r="B47">
        <v>25</v>
      </c>
      <c r="C47" t="s">
        <v>39</v>
      </c>
      <c r="D47" t="s">
        <v>34</v>
      </c>
      <c r="E47">
        <v>6</v>
      </c>
      <c r="F47" t="s">
        <v>21</v>
      </c>
      <c r="G47">
        <v>2.88</v>
      </c>
      <c r="H47">
        <v>2.98</v>
      </c>
      <c r="I47">
        <f t="shared" si="0"/>
        <v>0.10000000000000009</v>
      </c>
      <c r="J47">
        <v>6</v>
      </c>
      <c r="K47" t="s">
        <v>32</v>
      </c>
      <c r="L47">
        <v>8</v>
      </c>
      <c r="M47" t="s">
        <v>45</v>
      </c>
      <c r="N47" t="str">
        <f>IF(Table1[[#This Row],[Age]]&lt;20,"Teen",IF(Table1[[#This Row],[Age]]&lt;=22,"Young Adult","Adult"))</f>
        <v>Adult</v>
      </c>
    </row>
    <row r="48" spans="1:14" x14ac:dyDescent="0.35">
      <c r="A48" t="s">
        <v>92</v>
      </c>
      <c r="B48">
        <v>23</v>
      </c>
      <c r="C48" t="s">
        <v>13</v>
      </c>
      <c r="D48" t="s">
        <v>14</v>
      </c>
      <c r="E48">
        <v>2</v>
      </c>
      <c r="F48" t="s">
        <v>40</v>
      </c>
      <c r="G48">
        <v>3.5</v>
      </c>
      <c r="H48">
        <v>3.4</v>
      </c>
      <c r="I48">
        <f t="shared" si="0"/>
        <v>-0.10000000000000009</v>
      </c>
      <c r="J48">
        <v>4</v>
      </c>
      <c r="K48" t="s">
        <v>27</v>
      </c>
      <c r="L48">
        <v>7</v>
      </c>
      <c r="M48" t="s">
        <v>87</v>
      </c>
      <c r="N48" t="str">
        <f>IF(Table1[[#This Row],[Age]]&lt;20,"Teen",IF(Table1[[#This Row],[Age]]&lt;=22,"Young Adult","Adult"))</f>
        <v>Adult</v>
      </c>
    </row>
    <row r="49" spans="1:14" x14ac:dyDescent="0.35">
      <c r="A49" t="s">
        <v>93</v>
      </c>
      <c r="B49">
        <v>22</v>
      </c>
      <c r="C49" t="s">
        <v>39</v>
      </c>
      <c r="D49" t="s">
        <v>25</v>
      </c>
      <c r="E49">
        <v>7</v>
      </c>
      <c r="F49" t="s">
        <v>56</v>
      </c>
      <c r="G49">
        <v>3.92</v>
      </c>
      <c r="H49">
        <v>4</v>
      </c>
      <c r="I49">
        <f t="shared" si="0"/>
        <v>8.0000000000000071E-2</v>
      </c>
      <c r="J49">
        <v>14</v>
      </c>
      <c r="K49" t="s">
        <v>27</v>
      </c>
      <c r="L49">
        <v>1</v>
      </c>
      <c r="M49" t="s">
        <v>60</v>
      </c>
      <c r="N49" t="str">
        <f>IF(Table1[[#This Row],[Age]]&lt;20,"Teen",IF(Table1[[#This Row],[Age]]&lt;=22,"Young Adult","Adult"))</f>
        <v>Young Adult</v>
      </c>
    </row>
    <row r="50" spans="1:14" x14ac:dyDescent="0.35">
      <c r="A50" t="s">
        <v>94</v>
      </c>
      <c r="B50">
        <v>25</v>
      </c>
      <c r="C50" t="s">
        <v>42</v>
      </c>
      <c r="D50" t="s">
        <v>25</v>
      </c>
      <c r="E50">
        <v>5</v>
      </c>
      <c r="F50" t="s">
        <v>40</v>
      </c>
      <c r="G50">
        <v>3.82</v>
      </c>
      <c r="H50">
        <v>4</v>
      </c>
      <c r="I50">
        <f t="shared" si="0"/>
        <v>0.18000000000000016</v>
      </c>
      <c r="J50">
        <v>5</v>
      </c>
      <c r="K50" t="s">
        <v>27</v>
      </c>
      <c r="L50">
        <v>5</v>
      </c>
      <c r="M50" t="s">
        <v>17</v>
      </c>
      <c r="N50" t="str">
        <f>IF(Table1[[#This Row],[Age]]&lt;20,"Teen",IF(Table1[[#This Row],[Age]]&lt;=22,"Young Adult","Adult"))</f>
        <v>Adult</v>
      </c>
    </row>
    <row r="51" spans="1:14" x14ac:dyDescent="0.35">
      <c r="A51" t="s">
        <v>95</v>
      </c>
      <c r="B51">
        <v>20</v>
      </c>
      <c r="C51" t="s">
        <v>13</v>
      </c>
      <c r="D51" t="s">
        <v>25</v>
      </c>
      <c r="E51">
        <v>2</v>
      </c>
      <c r="F51" t="s">
        <v>21</v>
      </c>
      <c r="G51">
        <v>3.58</v>
      </c>
      <c r="H51">
        <v>3.68</v>
      </c>
      <c r="I51">
        <f t="shared" si="0"/>
        <v>0.10000000000000009</v>
      </c>
      <c r="J51">
        <v>12</v>
      </c>
      <c r="K51" t="s">
        <v>16</v>
      </c>
      <c r="L51">
        <v>5</v>
      </c>
      <c r="M51" t="s">
        <v>37</v>
      </c>
      <c r="N51" t="str">
        <f>IF(Table1[[#This Row],[Age]]&lt;20,"Teen",IF(Table1[[#This Row],[Age]]&lt;=22,"Young Adult","Adult"))</f>
        <v>Young Adult</v>
      </c>
    </row>
    <row r="52" spans="1:14" x14ac:dyDescent="0.35">
      <c r="A52" t="s">
        <v>96</v>
      </c>
      <c r="B52">
        <v>20</v>
      </c>
      <c r="C52" t="s">
        <v>19</v>
      </c>
      <c r="D52" t="s">
        <v>25</v>
      </c>
      <c r="E52">
        <v>6</v>
      </c>
      <c r="F52" t="s">
        <v>26</v>
      </c>
      <c r="G52">
        <v>3.87</v>
      </c>
      <c r="H52">
        <v>3.77</v>
      </c>
      <c r="I52">
        <f t="shared" si="0"/>
        <v>-0.10000000000000009</v>
      </c>
      <c r="J52">
        <v>4</v>
      </c>
      <c r="K52" t="s">
        <v>32</v>
      </c>
      <c r="L52">
        <v>1</v>
      </c>
      <c r="M52" t="s">
        <v>66</v>
      </c>
      <c r="N52" t="str">
        <f>IF(Table1[[#This Row],[Age]]&lt;20,"Teen",IF(Table1[[#This Row],[Age]]&lt;=22,"Young Adult","Adult"))</f>
        <v>Young Adult</v>
      </c>
    </row>
    <row r="53" spans="1:14" x14ac:dyDescent="0.35">
      <c r="A53" t="s">
        <v>97</v>
      </c>
      <c r="B53">
        <v>22</v>
      </c>
      <c r="C53" t="s">
        <v>30</v>
      </c>
      <c r="D53" t="s">
        <v>25</v>
      </c>
      <c r="E53">
        <v>2</v>
      </c>
      <c r="F53" t="s">
        <v>26</v>
      </c>
      <c r="G53">
        <v>3.96</v>
      </c>
      <c r="H53">
        <v>3.96</v>
      </c>
      <c r="I53">
        <f t="shared" si="0"/>
        <v>0</v>
      </c>
      <c r="J53">
        <v>12</v>
      </c>
      <c r="K53" t="s">
        <v>16</v>
      </c>
      <c r="L53">
        <v>10</v>
      </c>
      <c r="M53" t="s">
        <v>87</v>
      </c>
      <c r="N53" t="str">
        <f>IF(Table1[[#This Row],[Age]]&lt;20,"Teen",IF(Table1[[#This Row],[Age]]&lt;=22,"Young Adult","Adult"))</f>
        <v>Young Adult</v>
      </c>
    </row>
    <row r="54" spans="1:14" x14ac:dyDescent="0.35">
      <c r="A54" t="s">
        <v>98</v>
      </c>
      <c r="B54">
        <v>20</v>
      </c>
      <c r="C54" t="s">
        <v>13</v>
      </c>
      <c r="D54" t="s">
        <v>14</v>
      </c>
      <c r="E54">
        <v>1</v>
      </c>
      <c r="F54" t="s">
        <v>56</v>
      </c>
      <c r="G54">
        <v>3.51</v>
      </c>
      <c r="H54">
        <v>3.81</v>
      </c>
      <c r="I54">
        <f t="shared" si="0"/>
        <v>0.30000000000000027</v>
      </c>
      <c r="J54">
        <v>12</v>
      </c>
      <c r="K54" t="s">
        <v>32</v>
      </c>
      <c r="L54">
        <v>2</v>
      </c>
      <c r="M54" t="s">
        <v>74</v>
      </c>
      <c r="N54" t="str">
        <f>IF(Table1[[#This Row],[Age]]&lt;20,"Teen",IF(Table1[[#This Row],[Age]]&lt;=22,"Young Adult","Adult"))</f>
        <v>Young Adult</v>
      </c>
    </row>
    <row r="55" spans="1:14" x14ac:dyDescent="0.35">
      <c r="A55" t="s">
        <v>99</v>
      </c>
      <c r="B55">
        <v>19</v>
      </c>
      <c r="C55" t="s">
        <v>24</v>
      </c>
      <c r="D55" t="s">
        <v>25</v>
      </c>
      <c r="E55">
        <v>5</v>
      </c>
      <c r="F55" t="s">
        <v>21</v>
      </c>
      <c r="G55">
        <v>3.55</v>
      </c>
      <c r="H55">
        <v>3.85</v>
      </c>
      <c r="I55">
        <f t="shared" si="0"/>
        <v>0.30000000000000027</v>
      </c>
      <c r="J55">
        <v>5</v>
      </c>
      <c r="K55" t="s">
        <v>27</v>
      </c>
      <c r="L55">
        <v>6</v>
      </c>
      <c r="M55" t="s">
        <v>100</v>
      </c>
      <c r="N55" t="str">
        <f>IF(Table1[[#This Row],[Age]]&lt;20,"Teen",IF(Table1[[#This Row],[Age]]&lt;=22,"Young Adult","Adult"))</f>
        <v>Teen</v>
      </c>
    </row>
    <row r="56" spans="1:14" x14ac:dyDescent="0.35">
      <c r="A56" t="s">
        <v>101</v>
      </c>
      <c r="B56">
        <v>21</v>
      </c>
      <c r="C56" t="s">
        <v>39</v>
      </c>
      <c r="D56" t="s">
        <v>25</v>
      </c>
      <c r="E56">
        <v>2</v>
      </c>
      <c r="F56" t="s">
        <v>56</v>
      </c>
      <c r="G56">
        <v>2.64</v>
      </c>
      <c r="H56">
        <v>2.94</v>
      </c>
      <c r="I56">
        <f t="shared" si="0"/>
        <v>0.29999999999999982</v>
      </c>
      <c r="J56">
        <v>11</v>
      </c>
      <c r="K56" t="s">
        <v>27</v>
      </c>
      <c r="L56">
        <v>10</v>
      </c>
      <c r="M56" t="s">
        <v>64</v>
      </c>
      <c r="N56" t="str">
        <f>IF(Table1[[#This Row],[Age]]&lt;20,"Teen",IF(Table1[[#This Row],[Age]]&lt;=22,"Young Adult","Adult"))</f>
        <v>Young Adult</v>
      </c>
    </row>
    <row r="57" spans="1:14" x14ac:dyDescent="0.35">
      <c r="A57" t="s">
        <v>102</v>
      </c>
      <c r="B57">
        <v>21</v>
      </c>
      <c r="C57" t="s">
        <v>30</v>
      </c>
      <c r="D57" t="s">
        <v>20</v>
      </c>
      <c r="E57">
        <v>5</v>
      </c>
      <c r="F57" t="s">
        <v>26</v>
      </c>
      <c r="G57">
        <v>3.17</v>
      </c>
      <c r="H57">
        <v>3.27</v>
      </c>
      <c r="I57">
        <f t="shared" si="0"/>
        <v>0.10000000000000009</v>
      </c>
      <c r="J57">
        <v>7</v>
      </c>
      <c r="K57" t="s">
        <v>32</v>
      </c>
      <c r="L57">
        <v>5</v>
      </c>
      <c r="M57" t="s">
        <v>100</v>
      </c>
      <c r="N57" t="str">
        <f>IF(Table1[[#This Row],[Age]]&lt;20,"Teen",IF(Table1[[#This Row],[Age]]&lt;=22,"Young Adult","Adult"))</f>
        <v>Young Adult</v>
      </c>
    </row>
    <row r="58" spans="1:14" x14ac:dyDescent="0.35">
      <c r="A58" t="s">
        <v>103</v>
      </c>
      <c r="B58">
        <v>19</v>
      </c>
      <c r="C58" t="s">
        <v>13</v>
      </c>
      <c r="D58" t="s">
        <v>20</v>
      </c>
      <c r="E58">
        <v>2</v>
      </c>
      <c r="F58" t="s">
        <v>26</v>
      </c>
      <c r="G58">
        <v>2.5</v>
      </c>
      <c r="H58">
        <v>2.6</v>
      </c>
      <c r="I58">
        <f t="shared" si="0"/>
        <v>0.10000000000000009</v>
      </c>
      <c r="J58">
        <v>3</v>
      </c>
      <c r="K58" t="s">
        <v>32</v>
      </c>
      <c r="L58">
        <v>6</v>
      </c>
      <c r="M58" t="s">
        <v>50</v>
      </c>
      <c r="N58" t="str">
        <f>IF(Table1[[#This Row],[Age]]&lt;20,"Teen",IF(Table1[[#This Row],[Age]]&lt;=22,"Young Adult","Adult"))</f>
        <v>Teen</v>
      </c>
    </row>
    <row r="59" spans="1:14" x14ac:dyDescent="0.35">
      <c r="A59" t="s">
        <v>104</v>
      </c>
      <c r="B59">
        <v>22</v>
      </c>
      <c r="C59" t="s">
        <v>42</v>
      </c>
      <c r="D59" t="s">
        <v>20</v>
      </c>
      <c r="E59">
        <v>4</v>
      </c>
      <c r="F59" t="s">
        <v>26</v>
      </c>
      <c r="G59">
        <v>2.81</v>
      </c>
      <c r="H59">
        <v>3.11</v>
      </c>
      <c r="I59">
        <f t="shared" si="0"/>
        <v>0.29999999999999982</v>
      </c>
      <c r="J59">
        <v>13</v>
      </c>
      <c r="K59" t="s">
        <v>32</v>
      </c>
      <c r="L59">
        <v>3</v>
      </c>
      <c r="M59" t="s">
        <v>64</v>
      </c>
      <c r="N59" t="str">
        <f>IF(Table1[[#This Row],[Age]]&lt;20,"Teen",IF(Table1[[#This Row],[Age]]&lt;=22,"Young Adult","Adult"))</f>
        <v>Young Adult</v>
      </c>
    </row>
    <row r="60" spans="1:14" x14ac:dyDescent="0.35">
      <c r="A60" t="s">
        <v>105</v>
      </c>
      <c r="B60">
        <v>23</v>
      </c>
      <c r="C60" t="s">
        <v>24</v>
      </c>
      <c r="D60" t="s">
        <v>20</v>
      </c>
      <c r="E60">
        <v>1</v>
      </c>
      <c r="F60" t="s">
        <v>40</v>
      </c>
      <c r="G60">
        <v>3.93</v>
      </c>
      <c r="H60">
        <v>4</v>
      </c>
      <c r="I60">
        <f t="shared" si="0"/>
        <v>6.999999999999984E-2</v>
      </c>
      <c r="J60">
        <v>6</v>
      </c>
      <c r="K60" t="s">
        <v>32</v>
      </c>
      <c r="L60">
        <v>9</v>
      </c>
      <c r="M60" t="s">
        <v>60</v>
      </c>
      <c r="N60" t="str">
        <f>IF(Table1[[#This Row],[Age]]&lt;20,"Teen",IF(Table1[[#This Row],[Age]]&lt;=22,"Young Adult","Adult"))</f>
        <v>Adult</v>
      </c>
    </row>
    <row r="61" spans="1:14" x14ac:dyDescent="0.35">
      <c r="A61" t="s">
        <v>106</v>
      </c>
      <c r="B61">
        <v>18</v>
      </c>
      <c r="C61" t="s">
        <v>24</v>
      </c>
      <c r="D61" t="s">
        <v>20</v>
      </c>
      <c r="E61">
        <v>6</v>
      </c>
      <c r="F61" t="s">
        <v>56</v>
      </c>
      <c r="G61">
        <v>2.61</v>
      </c>
      <c r="H61">
        <v>2.5099999999999998</v>
      </c>
      <c r="I61">
        <f t="shared" si="0"/>
        <v>-0.10000000000000009</v>
      </c>
      <c r="J61">
        <v>15</v>
      </c>
      <c r="K61" t="s">
        <v>27</v>
      </c>
      <c r="L61">
        <v>6</v>
      </c>
      <c r="M61" t="s">
        <v>66</v>
      </c>
      <c r="N61" t="str">
        <f>IF(Table1[[#This Row],[Age]]&lt;20,"Teen",IF(Table1[[#This Row],[Age]]&lt;=22,"Young Adult","Adult"))</f>
        <v>Teen</v>
      </c>
    </row>
    <row r="62" spans="1:14" x14ac:dyDescent="0.35">
      <c r="A62" t="s">
        <v>107</v>
      </c>
      <c r="B62">
        <v>18</v>
      </c>
      <c r="C62" t="s">
        <v>24</v>
      </c>
      <c r="D62" t="s">
        <v>14</v>
      </c>
      <c r="E62">
        <v>8</v>
      </c>
      <c r="F62" t="s">
        <v>56</v>
      </c>
      <c r="G62">
        <v>3.89</v>
      </c>
      <c r="H62">
        <v>4</v>
      </c>
      <c r="I62">
        <f t="shared" si="0"/>
        <v>0.10999999999999988</v>
      </c>
      <c r="J62">
        <v>11</v>
      </c>
      <c r="K62" t="s">
        <v>16</v>
      </c>
      <c r="L62">
        <v>2</v>
      </c>
      <c r="M62" t="s">
        <v>17</v>
      </c>
      <c r="N62" t="str">
        <f>IF(Table1[[#This Row],[Age]]&lt;20,"Teen",IF(Table1[[#This Row],[Age]]&lt;=22,"Young Adult","Adult"))</f>
        <v>Teen</v>
      </c>
    </row>
    <row r="63" spans="1:14" x14ac:dyDescent="0.35">
      <c r="A63" t="s">
        <v>108</v>
      </c>
      <c r="B63">
        <v>20</v>
      </c>
      <c r="C63" t="s">
        <v>30</v>
      </c>
      <c r="D63" t="s">
        <v>25</v>
      </c>
      <c r="E63">
        <v>7</v>
      </c>
      <c r="F63" t="s">
        <v>15</v>
      </c>
      <c r="G63">
        <v>2.98</v>
      </c>
      <c r="H63">
        <v>2.88</v>
      </c>
      <c r="I63">
        <f t="shared" si="0"/>
        <v>-0.10000000000000009</v>
      </c>
      <c r="J63">
        <v>7</v>
      </c>
      <c r="K63" t="s">
        <v>32</v>
      </c>
      <c r="L63">
        <v>9</v>
      </c>
      <c r="M63" t="s">
        <v>28</v>
      </c>
      <c r="N63" t="str">
        <f>IF(Table1[[#This Row],[Age]]&lt;20,"Teen",IF(Table1[[#This Row],[Age]]&lt;=22,"Young Adult","Adult"))</f>
        <v>Young Adult</v>
      </c>
    </row>
    <row r="64" spans="1:14" x14ac:dyDescent="0.35">
      <c r="A64" t="s">
        <v>109</v>
      </c>
      <c r="B64">
        <v>24</v>
      </c>
      <c r="C64" t="s">
        <v>42</v>
      </c>
      <c r="D64" t="s">
        <v>25</v>
      </c>
      <c r="E64">
        <v>2</v>
      </c>
      <c r="F64" t="s">
        <v>15</v>
      </c>
      <c r="G64">
        <v>3.93</v>
      </c>
      <c r="H64">
        <v>3.83</v>
      </c>
      <c r="I64">
        <f t="shared" si="0"/>
        <v>-0.10000000000000009</v>
      </c>
      <c r="J64">
        <v>4</v>
      </c>
      <c r="K64" t="s">
        <v>27</v>
      </c>
      <c r="L64">
        <v>10</v>
      </c>
      <c r="M64" t="s">
        <v>28</v>
      </c>
      <c r="N64" t="str">
        <f>IF(Table1[[#This Row],[Age]]&lt;20,"Teen",IF(Table1[[#This Row],[Age]]&lt;=22,"Young Adult","Adult"))</f>
        <v>Adult</v>
      </c>
    </row>
    <row r="65" spans="1:14" x14ac:dyDescent="0.35">
      <c r="A65" t="s">
        <v>110</v>
      </c>
      <c r="B65">
        <v>24</v>
      </c>
      <c r="C65" t="s">
        <v>19</v>
      </c>
      <c r="D65" t="s">
        <v>25</v>
      </c>
      <c r="E65">
        <v>6</v>
      </c>
      <c r="F65" t="s">
        <v>21</v>
      </c>
      <c r="G65">
        <v>2.78</v>
      </c>
      <c r="H65">
        <v>2.98</v>
      </c>
      <c r="I65">
        <f t="shared" si="0"/>
        <v>0.20000000000000018</v>
      </c>
      <c r="J65">
        <v>11</v>
      </c>
      <c r="K65" t="s">
        <v>32</v>
      </c>
      <c r="L65">
        <v>5</v>
      </c>
      <c r="M65" t="s">
        <v>87</v>
      </c>
      <c r="N65" t="str">
        <f>IF(Table1[[#This Row],[Age]]&lt;20,"Teen",IF(Table1[[#This Row],[Age]]&lt;=22,"Young Adult","Adult"))</f>
        <v>Adult</v>
      </c>
    </row>
    <row r="66" spans="1:14" x14ac:dyDescent="0.35">
      <c r="A66" t="s">
        <v>111</v>
      </c>
      <c r="B66">
        <v>25</v>
      </c>
      <c r="C66" t="s">
        <v>19</v>
      </c>
      <c r="D66" t="s">
        <v>20</v>
      </c>
      <c r="E66">
        <v>4</v>
      </c>
      <c r="F66" t="s">
        <v>21</v>
      </c>
      <c r="G66">
        <v>3.5</v>
      </c>
      <c r="H66">
        <v>3.4</v>
      </c>
      <c r="I66">
        <f t="shared" si="0"/>
        <v>-0.10000000000000009</v>
      </c>
      <c r="J66">
        <v>9</v>
      </c>
      <c r="K66" t="s">
        <v>16</v>
      </c>
      <c r="L66">
        <v>1</v>
      </c>
      <c r="M66" t="s">
        <v>60</v>
      </c>
      <c r="N66" t="str">
        <f>IF(Table1[[#This Row],[Age]]&lt;20,"Teen",IF(Table1[[#This Row],[Age]]&lt;=22,"Young Adult","Adult"))</f>
        <v>Adult</v>
      </c>
    </row>
    <row r="67" spans="1:14" x14ac:dyDescent="0.35">
      <c r="A67" t="s">
        <v>112</v>
      </c>
      <c r="B67">
        <v>24</v>
      </c>
      <c r="C67" t="s">
        <v>13</v>
      </c>
      <c r="D67" t="s">
        <v>34</v>
      </c>
      <c r="E67">
        <v>5</v>
      </c>
      <c r="F67" t="s">
        <v>21</v>
      </c>
      <c r="G67">
        <v>3.31</v>
      </c>
      <c r="H67">
        <v>3.41</v>
      </c>
      <c r="I67">
        <f t="shared" ref="I67:I130" si="1">H67-G67</f>
        <v>0.10000000000000009</v>
      </c>
      <c r="J67">
        <v>12</v>
      </c>
      <c r="K67" t="s">
        <v>16</v>
      </c>
      <c r="L67">
        <v>10</v>
      </c>
      <c r="M67" t="s">
        <v>74</v>
      </c>
      <c r="N67" t="str">
        <f>IF(Table1[[#This Row],[Age]]&lt;20,"Teen",IF(Table1[[#This Row],[Age]]&lt;=22,"Young Adult","Adult"))</f>
        <v>Adult</v>
      </c>
    </row>
    <row r="68" spans="1:14" x14ac:dyDescent="0.35">
      <c r="A68" t="s">
        <v>113</v>
      </c>
      <c r="B68">
        <v>21</v>
      </c>
      <c r="C68" t="s">
        <v>39</v>
      </c>
      <c r="D68" t="s">
        <v>14</v>
      </c>
      <c r="E68">
        <v>3</v>
      </c>
      <c r="F68" t="s">
        <v>15</v>
      </c>
      <c r="G68">
        <v>2.73</v>
      </c>
      <c r="H68">
        <v>2.73</v>
      </c>
      <c r="I68">
        <f t="shared" si="1"/>
        <v>0</v>
      </c>
      <c r="J68">
        <v>12</v>
      </c>
      <c r="K68" t="s">
        <v>32</v>
      </c>
      <c r="L68">
        <v>6</v>
      </c>
      <c r="M68" t="s">
        <v>87</v>
      </c>
      <c r="N68" t="str">
        <f>IF(Table1[[#This Row],[Age]]&lt;20,"Teen",IF(Table1[[#This Row],[Age]]&lt;=22,"Young Adult","Adult"))</f>
        <v>Young Adult</v>
      </c>
    </row>
    <row r="69" spans="1:14" x14ac:dyDescent="0.35">
      <c r="A69" t="s">
        <v>114</v>
      </c>
      <c r="B69">
        <v>18</v>
      </c>
      <c r="C69" t="s">
        <v>39</v>
      </c>
      <c r="D69" t="s">
        <v>20</v>
      </c>
      <c r="E69">
        <v>7</v>
      </c>
      <c r="F69" t="s">
        <v>26</v>
      </c>
      <c r="G69">
        <v>3.12</v>
      </c>
      <c r="H69">
        <v>3.42</v>
      </c>
      <c r="I69">
        <f t="shared" si="1"/>
        <v>0.29999999999999982</v>
      </c>
      <c r="J69">
        <v>12</v>
      </c>
      <c r="K69" t="s">
        <v>27</v>
      </c>
      <c r="L69">
        <v>2</v>
      </c>
      <c r="M69" t="s">
        <v>48</v>
      </c>
      <c r="N69" t="str">
        <f>IF(Table1[[#This Row],[Age]]&lt;20,"Teen",IF(Table1[[#This Row],[Age]]&lt;=22,"Young Adult","Adult"))</f>
        <v>Teen</v>
      </c>
    </row>
    <row r="70" spans="1:14" x14ac:dyDescent="0.35">
      <c r="A70" t="s">
        <v>115</v>
      </c>
      <c r="B70">
        <v>21</v>
      </c>
      <c r="C70" t="s">
        <v>24</v>
      </c>
      <c r="D70" t="s">
        <v>34</v>
      </c>
      <c r="E70">
        <v>6</v>
      </c>
      <c r="F70" t="s">
        <v>40</v>
      </c>
      <c r="G70">
        <v>3.83</v>
      </c>
      <c r="H70">
        <v>4</v>
      </c>
      <c r="I70">
        <f t="shared" si="1"/>
        <v>0.16999999999999993</v>
      </c>
      <c r="J70">
        <v>9</v>
      </c>
      <c r="K70" t="s">
        <v>32</v>
      </c>
      <c r="L70">
        <v>8</v>
      </c>
      <c r="M70" t="s">
        <v>35</v>
      </c>
      <c r="N70" t="str">
        <f>IF(Table1[[#This Row],[Age]]&lt;20,"Teen",IF(Table1[[#This Row],[Age]]&lt;=22,"Young Adult","Adult"))</f>
        <v>Young Adult</v>
      </c>
    </row>
    <row r="71" spans="1:14" x14ac:dyDescent="0.35">
      <c r="A71" t="s">
        <v>116</v>
      </c>
      <c r="B71">
        <v>20</v>
      </c>
      <c r="C71" t="s">
        <v>24</v>
      </c>
      <c r="D71" t="s">
        <v>31</v>
      </c>
      <c r="E71">
        <v>8</v>
      </c>
      <c r="F71" t="s">
        <v>15</v>
      </c>
      <c r="G71">
        <v>2.88</v>
      </c>
      <c r="H71">
        <v>3.18</v>
      </c>
      <c r="I71">
        <f t="shared" si="1"/>
        <v>0.30000000000000027</v>
      </c>
      <c r="J71">
        <v>15</v>
      </c>
      <c r="K71" t="s">
        <v>16</v>
      </c>
      <c r="L71">
        <v>9</v>
      </c>
      <c r="M71" t="s">
        <v>64</v>
      </c>
      <c r="N71" t="str">
        <f>IF(Table1[[#This Row],[Age]]&lt;20,"Teen",IF(Table1[[#This Row],[Age]]&lt;=22,"Young Adult","Adult"))</f>
        <v>Young Adult</v>
      </c>
    </row>
    <row r="72" spans="1:14" x14ac:dyDescent="0.35">
      <c r="A72" t="s">
        <v>117</v>
      </c>
      <c r="B72">
        <v>25</v>
      </c>
      <c r="C72" t="s">
        <v>30</v>
      </c>
      <c r="D72" t="s">
        <v>34</v>
      </c>
      <c r="E72">
        <v>3</v>
      </c>
      <c r="F72" t="s">
        <v>26</v>
      </c>
      <c r="G72">
        <v>3.15</v>
      </c>
      <c r="H72">
        <v>3.35</v>
      </c>
      <c r="I72">
        <f t="shared" si="1"/>
        <v>0.20000000000000018</v>
      </c>
      <c r="J72">
        <v>11</v>
      </c>
      <c r="K72" t="s">
        <v>27</v>
      </c>
      <c r="L72">
        <v>1</v>
      </c>
      <c r="M72" t="s">
        <v>66</v>
      </c>
      <c r="N72" t="str">
        <f>IF(Table1[[#This Row],[Age]]&lt;20,"Teen",IF(Table1[[#This Row],[Age]]&lt;=22,"Young Adult","Adult"))</f>
        <v>Adult</v>
      </c>
    </row>
    <row r="73" spans="1:14" x14ac:dyDescent="0.35">
      <c r="A73" t="s">
        <v>118</v>
      </c>
      <c r="B73">
        <v>25</v>
      </c>
      <c r="C73" t="s">
        <v>30</v>
      </c>
      <c r="D73" t="s">
        <v>25</v>
      </c>
      <c r="E73">
        <v>2</v>
      </c>
      <c r="F73" t="s">
        <v>56</v>
      </c>
      <c r="G73">
        <v>3.61</v>
      </c>
      <c r="H73">
        <v>3.71</v>
      </c>
      <c r="I73">
        <f t="shared" si="1"/>
        <v>0.10000000000000009</v>
      </c>
      <c r="J73">
        <v>11</v>
      </c>
      <c r="K73" t="s">
        <v>27</v>
      </c>
      <c r="L73">
        <v>10</v>
      </c>
      <c r="M73" t="s">
        <v>43</v>
      </c>
      <c r="N73" t="str">
        <f>IF(Table1[[#This Row],[Age]]&lt;20,"Teen",IF(Table1[[#This Row],[Age]]&lt;=22,"Young Adult","Adult"))</f>
        <v>Adult</v>
      </c>
    </row>
    <row r="74" spans="1:14" x14ac:dyDescent="0.35">
      <c r="A74" t="s">
        <v>119</v>
      </c>
      <c r="B74">
        <v>20</v>
      </c>
      <c r="C74" t="s">
        <v>30</v>
      </c>
      <c r="D74" t="s">
        <v>31</v>
      </c>
      <c r="E74">
        <v>2</v>
      </c>
      <c r="F74" t="s">
        <v>40</v>
      </c>
      <c r="G74">
        <v>3.28</v>
      </c>
      <c r="H74">
        <v>3.58</v>
      </c>
      <c r="I74">
        <f t="shared" si="1"/>
        <v>0.30000000000000027</v>
      </c>
      <c r="J74">
        <v>9</v>
      </c>
      <c r="K74" t="s">
        <v>27</v>
      </c>
      <c r="L74">
        <v>8</v>
      </c>
      <c r="M74" t="s">
        <v>43</v>
      </c>
      <c r="N74" t="str">
        <f>IF(Table1[[#This Row],[Age]]&lt;20,"Teen",IF(Table1[[#This Row],[Age]]&lt;=22,"Young Adult","Adult"))</f>
        <v>Young Adult</v>
      </c>
    </row>
    <row r="75" spans="1:14" x14ac:dyDescent="0.35">
      <c r="A75" t="s">
        <v>120</v>
      </c>
      <c r="B75">
        <v>24</v>
      </c>
      <c r="C75" t="s">
        <v>19</v>
      </c>
      <c r="D75" t="s">
        <v>34</v>
      </c>
      <c r="E75">
        <v>7</v>
      </c>
      <c r="F75" t="s">
        <v>56</v>
      </c>
      <c r="G75">
        <v>3.89</v>
      </c>
      <c r="H75">
        <v>3.79</v>
      </c>
      <c r="I75">
        <f t="shared" si="1"/>
        <v>-0.10000000000000009</v>
      </c>
      <c r="J75">
        <v>6</v>
      </c>
      <c r="K75" t="s">
        <v>32</v>
      </c>
      <c r="L75">
        <v>3</v>
      </c>
      <c r="M75" t="s">
        <v>100</v>
      </c>
      <c r="N75" t="str">
        <f>IF(Table1[[#This Row],[Age]]&lt;20,"Teen",IF(Table1[[#This Row],[Age]]&lt;=22,"Young Adult","Adult"))</f>
        <v>Adult</v>
      </c>
    </row>
    <row r="76" spans="1:14" x14ac:dyDescent="0.35">
      <c r="A76" t="s">
        <v>121</v>
      </c>
      <c r="B76">
        <v>25</v>
      </c>
      <c r="C76" t="s">
        <v>42</v>
      </c>
      <c r="D76" t="s">
        <v>14</v>
      </c>
      <c r="E76">
        <v>3</v>
      </c>
      <c r="F76" t="s">
        <v>21</v>
      </c>
      <c r="G76">
        <v>3.32</v>
      </c>
      <c r="H76">
        <v>3.32</v>
      </c>
      <c r="I76">
        <f t="shared" si="1"/>
        <v>0</v>
      </c>
      <c r="J76">
        <v>11</v>
      </c>
      <c r="K76" t="s">
        <v>32</v>
      </c>
      <c r="L76">
        <v>10</v>
      </c>
      <c r="M76" t="s">
        <v>45</v>
      </c>
      <c r="N76" t="str">
        <f>IF(Table1[[#This Row],[Age]]&lt;20,"Teen",IF(Table1[[#This Row],[Age]]&lt;=22,"Young Adult","Adult"))</f>
        <v>Adult</v>
      </c>
    </row>
    <row r="77" spans="1:14" x14ac:dyDescent="0.35">
      <c r="A77" t="s">
        <v>122</v>
      </c>
      <c r="B77">
        <v>18</v>
      </c>
      <c r="C77" t="s">
        <v>13</v>
      </c>
      <c r="D77" t="s">
        <v>14</v>
      </c>
      <c r="E77">
        <v>2</v>
      </c>
      <c r="F77" t="s">
        <v>40</v>
      </c>
      <c r="G77">
        <v>3.18</v>
      </c>
      <c r="H77">
        <v>3.18</v>
      </c>
      <c r="I77">
        <f t="shared" si="1"/>
        <v>0</v>
      </c>
      <c r="J77">
        <v>8</v>
      </c>
      <c r="K77" t="s">
        <v>16</v>
      </c>
      <c r="L77">
        <v>7</v>
      </c>
      <c r="M77" t="s">
        <v>48</v>
      </c>
      <c r="N77" t="str">
        <f>IF(Table1[[#This Row],[Age]]&lt;20,"Teen",IF(Table1[[#This Row],[Age]]&lt;=22,"Young Adult","Adult"))</f>
        <v>Teen</v>
      </c>
    </row>
    <row r="78" spans="1:14" x14ac:dyDescent="0.35">
      <c r="A78" t="s">
        <v>123</v>
      </c>
      <c r="B78">
        <v>22</v>
      </c>
      <c r="C78" t="s">
        <v>24</v>
      </c>
      <c r="D78" t="s">
        <v>20</v>
      </c>
      <c r="E78">
        <v>9</v>
      </c>
      <c r="F78" t="s">
        <v>21</v>
      </c>
      <c r="G78">
        <v>3.15</v>
      </c>
      <c r="H78">
        <v>3.45</v>
      </c>
      <c r="I78">
        <f t="shared" si="1"/>
        <v>0.30000000000000027</v>
      </c>
      <c r="J78">
        <v>5</v>
      </c>
      <c r="K78" t="s">
        <v>16</v>
      </c>
      <c r="L78">
        <v>2</v>
      </c>
      <c r="M78" t="s">
        <v>17</v>
      </c>
      <c r="N78" t="str">
        <f>IF(Table1[[#This Row],[Age]]&lt;20,"Teen",IF(Table1[[#This Row],[Age]]&lt;=22,"Young Adult","Adult"))</f>
        <v>Young Adult</v>
      </c>
    </row>
    <row r="79" spans="1:14" x14ac:dyDescent="0.35">
      <c r="A79" t="s">
        <v>124</v>
      </c>
      <c r="B79">
        <v>23</v>
      </c>
      <c r="C79" t="s">
        <v>24</v>
      </c>
      <c r="D79" t="s">
        <v>20</v>
      </c>
      <c r="E79">
        <v>9</v>
      </c>
      <c r="F79" t="s">
        <v>56</v>
      </c>
      <c r="G79">
        <v>3.45</v>
      </c>
      <c r="H79">
        <v>3.65</v>
      </c>
      <c r="I79">
        <f t="shared" si="1"/>
        <v>0.19999999999999973</v>
      </c>
      <c r="J79">
        <v>7</v>
      </c>
      <c r="K79" t="s">
        <v>27</v>
      </c>
      <c r="L79">
        <v>7</v>
      </c>
      <c r="M79" t="s">
        <v>52</v>
      </c>
      <c r="N79" t="str">
        <f>IF(Table1[[#This Row],[Age]]&lt;20,"Teen",IF(Table1[[#This Row],[Age]]&lt;=22,"Young Adult","Adult"))</f>
        <v>Adult</v>
      </c>
    </row>
    <row r="80" spans="1:14" x14ac:dyDescent="0.35">
      <c r="A80" t="s">
        <v>125</v>
      </c>
      <c r="B80">
        <v>23</v>
      </c>
      <c r="C80" t="s">
        <v>13</v>
      </c>
      <c r="D80" t="s">
        <v>25</v>
      </c>
      <c r="E80">
        <v>6</v>
      </c>
      <c r="F80" t="s">
        <v>56</v>
      </c>
      <c r="G80">
        <v>3.87</v>
      </c>
      <c r="H80">
        <v>3.87</v>
      </c>
      <c r="I80">
        <f t="shared" si="1"/>
        <v>0</v>
      </c>
      <c r="J80">
        <v>5</v>
      </c>
      <c r="K80" t="s">
        <v>16</v>
      </c>
      <c r="L80">
        <v>6</v>
      </c>
      <c r="M80" t="s">
        <v>37</v>
      </c>
      <c r="N80" t="str">
        <f>IF(Table1[[#This Row],[Age]]&lt;20,"Teen",IF(Table1[[#This Row],[Age]]&lt;=22,"Young Adult","Adult"))</f>
        <v>Adult</v>
      </c>
    </row>
    <row r="81" spans="1:14" x14ac:dyDescent="0.35">
      <c r="A81" t="s">
        <v>126</v>
      </c>
      <c r="B81">
        <v>22</v>
      </c>
      <c r="C81" t="s">
        <v>13</v>
      </c>
      <c r="D81" t="s">
        <v>14</v>
      </c>
      <c r="E81">
        <v>5</v>
      </c>
      <c r="F81" t="s">
        <v>40</v>
      </c>
      <c r="G81">
        <v>2.5499999999999998</v>
      </c>
      <c r="H81">
        <v>2.4500000000000002</v>
      </c>
      <c r="I81">
        <f t="shared" si="1"/>
        <v>-9.9999999999999645E-2</v>
      </c>
      <c r="J81">
        <v>2</v>
      </c>
      <c r="K81" t="s">
        <v>32</v>
      </c>
      <c r="L81">
        <v>2</v>
      </c>
      <c r="M81" t="s">
        <v>60</v>
      </c>
      <c r="N81" t="str">
        <f>IF(Table1[[#This Row],[Age]]&lt;20,"Teen",IF(Table1[[#This Row],[Age]]&lt;=22,"Young Adult","Adult"))</f>
        <v>Young Adult</v>
      </c>
    </row>
    <row r="82" spans="1:14" x14ac:dyDescent="0.35">
      <c r="A82" t="s">
        <v>127</v>
      </c>
      <c r="B82">
        <v>18</v>
      </c>
      <c r="C82" t="s">
        <v>30</v>
      </c>
      <c r="D82" t="s">
        <v>20</v>
      </c>
      <c r="E82">
        <v>6</v>
      </c>
      <c r="F82" t="s">
        <v>56</v>
      </c>
      <c r="G82">
        <v>3.49</v>
      </c>
      <c r="H82">
        <v>3.39</v>
      </c>
      <c r="I82">
        <f t="shared" si="1"/>
        <v>-0.10000000000000009</v>
      </c>
      <c r="J82">
        <v>15</v>
      </c>
      <c r="K82" t="s">
        <v>16</v>
      </c>
      <c r="L82">
        <v>4</v>
      </c>
      <c r="M82" t="s">
        <v>100</v>
      </c>
      <c r="N82" t="str">
        <f>IF(Table1[[#This Row],[Age]]&lt;20,"Teen",IF(Table1[[#This Row],[Age]]&lt;=22,"Young Adult","Adult"))</f>
        <v>Teen</v>
      </c>
    </row>
    <row r="83" spans="1:14" x14ac:dyDescent="0.35">
      <c r="A83" t="s">
        <v>128</v>
      </c>
      <c r="B83">
        <v>25</v>
      </c>
      <c r="C83" t="s">
        <v>30</v>
      </c>
      <c r="D83" t="s">
        <v>34</v>
      </c>
      <c r="E83">
        <v>1</v>
      </c>
      <c r="F83" t="s">
        <v>21</v>
      </c>
      <c r="G83">
        <v>3.69</v>
      </c>
      <c r="H83">
        <v>3.89</v>
      </c>
      <c r="I83">
        <f t="shared" si="1"/>
        <v>0.20000000000000018</v>
      </c>
      <c r="J83">
        <v>13</v>
      </c>
      <c r="K83" t="s">
        <v>16</v>
      </c>
      <c r="L83">
        <v>8</v>
      </c>
      <c r="M83" t="s">
        <v>28</v>
      </c>
      <c r="N83" t="str">
        <f>IF(Table1[[#This Row],[Age]]&lt;20,"Teen",IF(Table1[[#This Row],[Age]]&lt;=22,"Young Adult","Adult"))</f>
        <v>Adult</v>
      </c>
    </row>
    <row r="84" spans="1:14" x14ac:dyDescent="0.35">
      <c r="A84" t="s">
        <v>129</v>
      </c>
      <c r="B84">
        <v>22</v>
      </c>
      <c r="C84" t="s">
        <v>19</v>
      </c>
      <c r="D84" t="s">
        <v>34</v>
      </c>
      <c r="E84">
        <v>5</v>
      </c>
      <c r="F84" t="s">
        <v>21</v>
      </c>
      <c r="G84">
        <v>3.76</v>
      </c>
      <c r="H84">
        <v>3.66</v>
      </c>
      <c r="I84">
        <f t="shared" si="1"/>
        <v>-9.9999999999999645E-2</v>
      </c>
      <c r="J84">
        <v>5</v>
      </c>
      <c r="K84" t="s">
        <v>32</v>
      </c>
      <c r="L84">
        <v>5</v>
      </c>
      <c r="M84" t="s">
        <v>66</v>
      </c>
      <c r="N84" t="str">
        <f>IF(Table1[[#This Row],[Age]]&lt;20,"Teen",IF(Table1[[#This Row],[Age]]&lt;=22,"Young Adult","Adult"))</f>
        <v>Young Adult</v>
      </c>
    </row>
    <row r="85" spans="1:14" x14ac:dyDescent="0.35">
      <c r="A85" t="s">
        <v>130</v>
      </c>
      <c r="B85">
        <v>22</v>
      </c>
      <c r="C85" t="s">
        <v>30</v>
      </c>
      <c r="D85" t="s">
        <v>34</v>
      </c>
      <c r="E85">
        <v>1</v>
      </c>
      <c r="F85" t="s">
        <v>26</v>
      </c>
      <c r="G85">
        <v>2.63</v>
      </c>
      <c r="H85">
        <v>2.83</v>
      </c>
      <c r="I85">
        <f t="shared" si="1"/>
        <v>0.20000000000000018</v>
      </c>
      <c r="J85">
        <v>13</v>
      </c>
      <c r="K85" t="s">
        <v>16</v>
      </c>
      <c r="L85">
        <v>4</v>
      </c>
      <c r="M85" t="s">
        <v>64</v>
      </c>
      <c r="N85" t="str">
        <f>IF(Table1[[#This Row],[Age]]&lt;20,"Teen",IF(Table1[[#This Row],[Age]]&lt;=22,"Young Adult","Adult"))</f>
        <v>Young Adult</v>
      </c>
    </row>
    <row r="86" spans="1:14" x14ac:dyDescent="0.35">
      <c r="A86" t="s">
        <v>131</v>
      </c>
      <c r="B86">
        <v>24</v>
      </c>
      <c r="C86" t="s">
        <v>13</v>
      </c>
      <c r="D86" t="s">
        <v>14</v>
      </c>
      <c r="E86">
        <v>7</v>
      </c>
      <c r="F86" t="s">
        <v>40</v>
      </c>
      <c r="G86">
        <v>3.53</v>
      </c>
      <c r="H86">
        <v>3.53</v>
      </c>
      <c r="I86">
        <f t="shared" si="1"/>
        <v>0</v>
      </c>
      <c r="J86">
        <v>6</v>
      </c>
      <c r="K86" t="s">
        <v>27</v>
      </c>
      <c r="L86">
        <v>7</v>
      </c>
      <c r="M86" t="s">
        <v>35</v>
      </c>
      <c r="N86" t="str">
        <f>IF(Table1[[#This Row],[Age]]&lt;20,"Teen",IF(Table1[[#This Row],[Age]]&lt;=22,"Young Adult","Adult"))</f>
        <v>Adult</v>
      </c>
    </row>
    <row r="87" spans="1:14" x14ac:dyDescent="0.35">
      <c r="A87" t="s">
        <v>132</v>
      </c>
      <c r="B87">
        <v>25</v>
      </c>
      <c r="C87" t="s">
        <v>39</v>
      </c>
      <c r="D87" t="s">
        <v>14</v>
      </c>
      <c r="E87">
        <v>5</v>
      </c>
      <c r="F87" t="s">
        <v>21</v>
      </c>
      <c r="G87">
        <v>3.55</v>
      </c>
      <c r="H87">
        <v>3.45</v>
      </c>
      <c r="I87">
        <f t="shared" si="1"/>
        <v>-9.9999999999999645E-2</v>
      </c>
      <c r="J87">
        <v>12</v>
      </c>
      <c r="K87" t="s">
        <v>27</v>
      </c>
      <c r="L87">
        <v>8</v>
      </c>
      <c r="M87" t="s">
        <v>17</v>
      </c>
      <c r="N87" t="str">
        <f>IF(Table1[[#This Row],[Age]]&lt;20,"Teen",IF(Table1[[#This Row],[Age]]&lt;=22,"Young Adult","Adult"))</f>
        <v>Adult</v>
      </c>
    </row>
    <row r="88" spans="1:14" x14ac:dyDescent="0.35">
      <c r="A88" t="s">
        <v>133</v>
      </c>
      <c r="B88">
        <v>23</v>
      </c>
      <c r="C88" t="s">
        <v>39</v>
      </c>
      <c r="D88" t="s">
        <v>25</v>
      </c>
      <c r="E88">
        <v>4</v>
      </c>
      <c r="F88" t="s">
        <v>21</v>
      </c>
      <c r="G88">
        <v>2.99</v>
      </c>
      <c r="H88">
        <v>2.89</v>
      </c>
      <c r="I88">
        <f t="shared" si="1"/>
        <v>-0.10000000000000009</v>
      </c>
      <c r="J88">
        <v>7</v>
      </c>
      <c r="K88" t="s">
        <v>27</v>
      </c>
      <c r="L88">
        <v>5</v>
      </c>
      <c r="M88" t="s">
        <v>50</v>
      </c>
      <c r="N88" t="str">
        <f>IF(Table1[[#This Row],[Age]]&lt;20,"Teen",IF(Table1[[#This Row],[Age]]&lt;=22,"Young Adult","Adult"))</f>
        <v>Adult</v>
      </c>
    </row>
    <row r="89" spans="1:14" x14ac:dyDescent="0.35">
      <c r="A89" t="s">
        <v>134</v>
      </c>
      <c r="B89">
        <v>25</v>
      </c>
      <c r="C89" t="s">
        <v>30</v>
      </c>
      <c r="D89" t="s">
        <v>31</v>
      </c>
      <c r="E89">
        <v>4</v>
      </c>
      <c r="F89" t="s">
        <v>56</v>
      </c>
      <c r="G89">
        <v>3.14</v>
      </c>
      <c r="H89">
        <v>3.44</v>
      </c>
      <c r="I89">
        <f t="shared" si="1"/>
        <v>0.29999999999999982</v>
      </c>
      <c r="J89">
        <v>11</v>
      </c>
      <c r="K89" t="s">
        <v>32</v>
      </c>
      <c r="L89">
        <v>6</v>
      </c>
      <c r="M89" t="s">
        <v>28</v>
      </c>
      <c r="N89" t="str">
        <f>IF(Table1[[#This Row],[Age]]&lt;20,"Teen",IF(Table1[[#This Row],[Age]]&lt;=22,"Young Adult","Adult"))</f>
        <v>Adult</v>
      </c>
    </row>
    <row r="90" spans="1:14" x14ac:dyDescent="0.35">
      <c r="A90" t="s">
        <v>135</v>
      </c>
      <c r="B90">
        <v>19</v>
      </c>
      <c r="C90" t="s">
        <v>39</v>
      </c>
      <c r="D90" t="s">
        <v>20</v>
      </c>
      <c r="E90">
        <v>8</v>
      </c>
      <c r="F90" t="s">
        <v>15</v>
      </c>
      <c r="G90">
        <v>3.03</v>
      </c>
      <c r="H90">
        <v>3.33</v>
      </c>
      <c r="I90">
        <f t="shared" si="1"/>
        <v>0.30000000000000027</v>
      </c>
      <c r="J90">
        <v>9</v>
      </c>
      <c r="K90" t="s">
        <v>16</v>
      </c>
      <c r="L90">
        <v>9</v>
      </c>
      <c r="M90" t="s">
        <v>60</v>
      </c>
      <c r="N90" t="str">
        <f>IF(Table1[[#This Row],[Age]]&lt;20,"Teen",IF(Table1[[#This Row],[Age]]&lt;=22,"Young Adult","Adult"))</f>
        <v>Teen</v>
      </c>
    </row>
    <row r="91" spans="1:14" x14ac:dyDescent="0.35">
      <c r="A91" t="s">
        <v>136</v>
      </c>
      <c r="B91">
        <v>20</v>
      </c>
      <c r="C91" t="s">
        <v>13</v>
      </c>
      <c r="D91" t="s">
        <v>34</v>
      </c>
      <c r="E91">
        <v>4</v>
      </c>
      <c r="F91" t="s">
        <v>40</v>
      </c>
      <c r="G91">
        <v>3.88</v>
      </c>
      <c r="H91">
        <v>3.98</v>
      </c>
      <c r="I91">
        <f t="shared" si="1"/>
        <v>0.10000000000000009</v>
      </c>
      <c r="J91">
        <v>2</v>
      </c>
      <c r="K91" t="s">
        <v>27</v>
      </c>
      <c r="L91">
        <v>1</v>
      </c>
      <c r="M91" t="s">
        <v>66</v>
      </c>
      <c r="N91" t="str">
        <f>IF(Table1[[#This Row],[Age]]&lt;20,"Teen",IF(Table1[[#This Row],[Age]]&lt;=22,"Young Adult","Adult"))</f>
        <v>Young Adult</v>
      </c>
    </row>
    <row r="92" spans="1:14" x14ac:dyDescent="0.35">
      <c r="A92" t="s">
        <v>137</v>
      </c>
      <c r="B92">
        <v>24</v>
      </c>
      <c r="C92" t="s">
        <v>13</v>
      </c>
      <c r="D92" t="s">
        <v>20</v>
      </c>
      <c r="E92">
        <v>10</v>
      </c>
      <c r="F92" t="s">
        <v>40</v>
      </c>
      <c r="G92">
        <v>2.7</v>
      </c>
      <c r="H92">
        <v>2.6</v>
      </c>
      <c r="I92">
        <f t="shared" si="1"/>
        <v>-0.10000000000000009</v>
      </c>
      <c r="J92">
        <v>8</v>
      </c>
      <c r="K92" t="s">
        <v>32</v>
      </c>
      <c r="L92">
        <v>9</v>
      </c>
      <c r="M92" t="s">
        <v>50</v>
      </c>
      <c r="N92" t="str">
        <f>IF(Table1[[#This Row],[Age]]&lt;20,"Teen",IF(Table1[[#This Row],[Age]]&lt;=22,"Young Adult","Adult"))</f>
        <v>Adult</v>
      </c>
    </row>
    <row r="93" spans="1:14" x14ac:dyDescent="0.35">
      <c r="A93" t="s">
        <v>138</v>
      </c>
      <c r="B93">
        <v>23</v>
      </c>
      <c r="C93" t="s">
        <v>39</v>
      </c>
      <c r="D93" t="s">
        <v>20</v>
      </c>
      <c r="E93">
        <v>3</v>
      </c>
      <c r="F93" t="s">
        <v>26</v>
      </c>
      <c r="G93">
        <v>2.96</v>
      </c>
      <c r="H93">
        <v>3.06</v>
      </c>
      <c r="I93">
        <f t="shared" si="1"/>
        <v>0.10000000000000009</v>
      </c>
      <c r="J93">
        <v>4</v>
      </c>
      <c r="K93" t="s">
        <v>16</v>
      </c>
      <c r="L93">
        <v>1</v>
      </c>
      <c r="M93" t="s">
        <v>74</v>
      </c>
      <c r="N93" t="str">
        <f>IF(Table1[[#This Row],[Age]]&lt;20,"Teen",IF(Table1[[#This Row],[Age]]&lt;=22,"Young Adult","Adult"))</f>
        <v>Adult</v>
      </c>
    </row>
    <row r="94" spans="1:14" x14ac:dyDescent="0.35">
      <c r="A94" t="s">
        <v>139</v>
      </c>
      <c r="B94">
        <v>24</v>
      </c>
      <c r="C94" t="s">
        <v>39</v>
      </c>
      <c r="D94" t="s">
        <v>20</v>
      </c>
      <c r="E94">
        <v>6</v>
      </c>
      <c r="F94" t="s">
        <v>56</v>
      </c>
      <c r="G94">
        <v>2.95</v>
      </c>
      <c r="H94">
        <v>3.15</v>
      </c>
      <c r="I94">
        <f t="shared" si="1"/>
        <v>0.19999999999999973</v>
      </c>
      <c r="J94">
        <v>14</v>
      </c>
      <c r="K94" t="s">
        <v>16</v>
      </c>
      <c r="L94">
        <v>4</v>
      </c>
      <c r="M94" t="s">
        <v>37</v>
      </c>
      <c r="N94" t="str">
        <f>IF(Table1[[#This Row],[Age]]&lt;20,"Teen",IF(Table1[[#This Row],[Age]]&lt;=22,"Young Adult","Adult"))</f>
        <v>Adult</v>
      </c>
    </row>
    <row r="95" spans="1:14" x14ac:dyDescent="0.35">
      <c r="A95" t="s">
        <v>140</v>
      </c>
      <c r="B95">
        <v>25</v>
      </c>
      <c r="C95" t="s">
        <v>19</v>
      </c>
      <c r="D95" t="s">
        <v>14</v>
      </c>
      <c r="E95">
        <v>8</v>
      </c>
      <c r="F95" t="s">
        <v>21</v>
      </c>
      <c r="G95">
        <v>3.57</v>
      </c>
      <c r="H95">
        <v>3.67</v>
      </c>
      <c r="I95">
        <f t="shared" si="1"/>
        <v>0.10000000000000009</v>
      </c>
      <c r="J95">
        <v>9</v>
      </c>
      <c r="K95" t="s">
        <v>27</v>
      </c>
      <c r="L95">
        <v>10</v>
      </c>
      <c r="M95" t="s">
        <v>100</v>
      </c>
      <c r="N95" t="str">
        <f>IF(Table1[[#This Row],[Age]]&lt;20,"Teen",IF(Table1[[#This Row],[Age]]&lt;=22,"Young Adult","Adult"))</f>
        <v>Adult</v>
      </c>
    </row>
    <row r="96" spans="1:14" x14ac:dyDescent="0.35">
      <c r="A96" t="s">
        <v>141</v>
      </c>
      <c r="B96">
        <v>22</v>
      </c>
      <c r="C96" t="s">
        <v>24</v>
      </c>
      <c r="D96" t="s">
        <v>25</v>
      </c>
      <c r="E96">
        <v>9</v>
      </c>
      <c r="F96" t="s">
        <v>21</v>
      </c>
      <c r="G96">
        <v>3.1</v>
      </c>
      <c r="H96">
        <v>3.3</v>
      </c>
      <c r="I96">
        <f t="shared" si="1"/>
        <v>0.19999999999999973</v>
      </c>
      <c r="J96">
        <v>14</v>
      </c>
      <c r="K96" t="s">
        <v>32</v>
      </c>
      <c r="L96">
        <v>8</v>
      </c>
      <c r="M96" t="s">
        <v>66</v>
      </c>
      <c r="N96" t="str">
        <f>IF(Table1[[#This Row],[Age]]&lt;20,"Teen",IF(Table1[[#This Row],[Age]]&lt;=22,"Young Adult","Adult"))</f>
        <v>Young Adult</v>
      </c>
    </row>
    <row r="97" spans="1:14" x14ac:dyDescent="0.35">
      <c r="A97" t="s">
        <v>142</v>
      </c>
      <c r="B97">
        <v>21</v>
      </c>
      <c r="C97" t="s">
        <v>24</v>
      </c>
      <c r="D97" t="s">
        <v>25</v>
      </c>
      <c r="E97">
        <v>3</v>
      </c>
      <c r="F97" t="s">
        <v>26</v>
      </c>
      <c r="G97">
        <v>2.62</v>
      </c>
      <c r="H97">
        <v>2.62</v>
      </c>
      <c r="I97">
        <f t="shared" si="1"/>
        <v>0</v>
      </c>
      <c r="J97">
        <v>15</v>
      </c>
      <c r="K97" t="s">
        <v>27</v>
      </c>
      <c r="L97">
        <v>5</v>
      </c>
      <c r="M97" t="s">
        <v>45</v>
      </c>
      <c r="N97" t="str">
        <f>IF(Table1[[#This Row],[Age]]&lt;20,"Teen",IF(Table1[[#This Row],[Age]]&lt;=22,"Young Adult","Adult"))</f>
        <v>Young Adult</v>
      </c>
    </row>
    <row r="98" spans="1:14" x14ac:dyDescent="0.35">
      <c r="A98" t="s">
        <v>143</v>
      </c>
      <c r="B98">
        <v>19</v>
      </c>
      <c r="C98" t="s">
        <v>13</v>
      </c>
      <c r="D98" t="s">
        <v>25</v>
      </c>
      <c r="E98">
        <v>9</v>
      </c>
      <c r="F98" t="s">
        <v>21</v>
      </c>
      <c r="G98">
        <v>2.6</v>
      </c>
      <c r="H98">
        <v>2.6</v>
      </c>
      <c r="I98">
        <f t="shared" si="1"/>
        <v>0</v>
      </c>
      <c r="J98">
        <v>9</v>
      </c>
      <c r="K98" t="s">
        <v>27</v>
      </c>
      <c r="L98">
        <v>5</v>
      </c>
      <c r="M98" t="s">
        <v>64</v>
      </c>
      <c r="N98" t="str">
        <f>IF(Table1[[#This Row],[Age]]&lt;20,"Teen",IF(Table1[[#This Row],[Age]]&lt;=22,"Young Adult","Adult"))</f>
        <v>Teen</v>
      </c>
    </row>
    <row r="99" spans="1:14" x14ac:dyDescent="0.35">
      <c r="A99" t="s">
        <v>144</v>
      </c>
      <c r="B99">
        <v>19</v>
      </c>
      <c r="C99" t="s">
        <v>39</v>
      </c>
      <c r="D99" t="s">
        <v>34</v>
      </c>
      <c r="E99">
        <v>3</v>
      </c>
      <c r="F99" t="s">
        <v>21</v>
      </c>
      <c r="G99">
        <v>3.16</v>
      </c>
      <c r="H99">
        <v>3.16</v>
      </c>
      <c r="I99">
        <f t="shared" si="1"/>
        <v>0</v>
      </c>
      <c r="J99">
        <v>4</v>
      </c>
      <c r="K99" t="s">
        <v>32</v>
      </c>
      <c r="L99">
        <v>10</v>
      </c>
      <c r="M99" t="s">
        <v>64</v>
      </c>
      <c r="N99" t="str">
        <f>IF(Table1[[#This Row],[Age]]&lt;20,"Teen",IF(Table1[[#This Row],[Age]]&lt;=22,"Young Adult","Adult"))</f>
        <v>Teen</v>
      </c>
    </row>
    <row r="100" spans="1:14" x14ac:dyDescent="0.35">
      <c r="A100" t="s">
        <v>145</v>
      </c>
      <c r="B100">
        <v>18</v>
      </c>
      <c r="C100" t="s">
        <v>39</v>
      </c>
      <c r="D100" t="s">
        <v>31</v>
      </c>
      <c r="E100">
        <v>9</v>
      </c>
      <c r="F100" t="s">
        <v>56</v>
      </c>
      <c r="G100">
        <v>3.64</v>
      </c>
      <c r="H100">
        <v>3.84</v>
      </c>
      <c r="I100">
        <f t="shared" si="1"/>
        <v>0.19999999999999973</v>
      </c>
      <c r="J100">
        <v>6</v>
      </c>
      <c r="K100" t="s">
        <v>32</v>
      </c>
      <c r="L100">
        <v>3</v>
      </c>
      <c r="M100" t="s">
        <v>28</v>
      </c>
      <c r="N100" t="str">
        <f>IF(Table1[[#This Row],[Age]]&lt;20,"Teen",IF(Table1[[#This Row],[Age]]&lt;=22,"Young Adult","Adult"))</f>
        <v>Teen</v>
      </c>
    </row>
    <row r="101" spans="1:14" x14ac:dyDescent="0.35">
      <c r="A101" t="s">
        <v>146</v>
      </c>
      <c r="B101">
        <v>18</v>
      </c>
      <c r="C101" t="s">
        <v>42</v>
      </c>
      <c r="D101" t="s">
        <v>20</v>
      </c>
      <c r="E101">
        <v>6</v>
      </c>
      <c r="F101" t="s">
        <v>21</v>
      </c>
      <c r="G101">
        <v>2.97</v>
      </c>
      <c r="H101">
        <v>2.87</v>
      </c>
      <c r="I101">
        <f t="shared" si="1"/>
        <v>-0.10000000000000009</v>
      </c>
      <c r="J101">
        <v>6</v>
      </c>
      <c r="K101" t="s">
        <v>32</v>
      </c>
      <c r="L101">
        <v>6</v>
      </c>
      <c r="M101" t="s">
        <v>35</v>
      </c>
      <c r="N101" t="str">
        <f>IF(Table1[[#This Row],[Age]]&lt;20,"Teen",IF(Table1[[#This Row],[Age]]&lt;=22,"Young Adult","Adult"))</f>
        <v>Teen</v>
      </c>
    </row>
    <row r="102" spans="1:14" x14ac:dyDescent="0.35">
      <c r="A102" t="s">
        <v>147</v>
      </c>
      <c r="B102">
        <v>25</v>
      </c>
      <c r="C102" t="s">
        <v>13</v>
      </c>
      <c r="D102" t="s">
        <v>20</v>
      </c>
      <c r="E102">
        <v>6</v>
      </c>
      <c r="F102" t="s">
        <v>15</v>
      </c>
      <c r="G102">
        <v>3.2</v>
      </c>
      <c r="H102">
        <v>3.3</v>
      </c>
      <c r="I102">
        <f t="shared" si="1"/>
        <v>9.9999999999999645E-2</v>
      </c>
      <c r="J102">
        <v>13</v>
      </c>
      <c r="K102" t="s">
        <v>32</v>
      </c>
      <c r="L102">
        <v>8</v>
      </c>
      <c r="M102" t="s">
        <v>45</v>
      </c>
      <c r="N102" t="str">
        <f>IF(Table1[[#This Row],[Age]]&lt;20,"Teen",IF(Table1[[#This Row],[Age]]&lt;=22,"Young Adult","Adult"))</f>
        <v>Adult</v>
      </c>
    </row>
    <row r="103" spans="1:14" x14ac:dyDescent="0.35">
      <c r="A103" t="s">
        <v>148</v>
      </c>
      <c r="B103">
        <v>20</v>
      </c>
      <c r="C103" t="s">
        <v>42</v>
      </c>
      <c r="D103" t="s">
        <v>14</v>
      </c>
      <c r="E103">
        <v>3</v>
      </c>
      <c r="F103" t="s">
        <v>40</v>
      </c>
      <c r="G103">
        <v>2.83</v>
      </c>
      <c r="H103">
        <v>3.13</v>
      </c>
      <c r="I103">
        <f t="shared" si="1"/>
        <v>0.29999999999999982</v>
      </c>
      <c r="J103">
        <v>8</v>
      </c>
      <c r="K103" t="s">
        <v>16</v>
      </c>
      <c r="L103">
        <v>7</v>
      </c>
      <c r="M103" t="s">
        <v>43</v>
      </c>
      <c r="N103" t="str">
        <f>IF(Table1[[#This Row],[Age]]&lt;20,"Teen",IF(Table1[[#This Row],[Age]]&lt;=22,"Young Adult","Adult"))</f>
        <v>Young Adult</v>
      </c>
    </row>
    <row r="104" spans="1:14" x14ac:dyDescent="0.35">
      <c r="A104" t="s">
        <v>149</v>
      </c>
      <c r="B104">
        <v>19</v>
      </c>
      <c r="C104" t="s">
        <v>42</v>
      </c>
      <c r="D104" t="s">
        <v>31</v>
      </c>
      <c r="E104">
        <v>9</v>
      </c>
      <c r="F104" t="s">
        <v>21</v>
      </c>
      <c r="G104">
        <v>2.52</v>
      </c>
      <c r="H104">
        <v>2.82</v>
      </c>
      <c r="I104">
        <f t="shared" si="1"/>
        <v>0.29999999999999982</v>
      </c>
      <c r="J104">
        <v>4</v>
      </c>
      <c r="K104" t="s">
        <v>16</v>
      </c>
      <c r="L104">
        <v>5</v>
      </c>
      <c r="M104" t="s">
        <v>100</v>
      </c>
      <c r="N104" t="str">
        <f>IF(Table1[[#This Row],[Age]]&lt;20,"Teen",IF(Table1[[#This Row],[Age]]&lt;=22,"Young Adult","Adult"))</f>
        <v>Teen</v>
      </c>
    </row>
    <row r="105" spans="1:14" x14ac:dyDescent="0.35">
      <c r="A105" t="s">
        <v>150</v>
      </c>
      <c r="B105">
        <v>18</v>
      </c>
      <c r="C105" t="s">
        <v>42</v>
      </c>
      <c r="D105" t="s">
        <v>25</v>
      </c>
      <c r="E105">
        <v>6</v>
      </c>
      <c r="F105" t="s">
        <v>40</v>
      </c>
      <c r="G105">
        <v>2.73</v>
      </c>
      <c r="H105">
        <v>2.73</v>
      </c>
      <c r="I105">
        <f t="shared" si="1"/>
        <v>0</v>
      </c>
      <c r="J105">
        <v>12</v>
      </c>
      <c r="K105" t="s">
        <v>16</v>
      </c>
      <c r="L105">
        <v>1</v>
      </c>
      <c r="M105" t="s">
        <v>37</v>
      </c>
      <c r="N105" t="str">
        <f>IF(Table1[[#This Row],[Age]]&lt;20,"Teen",IF(Table1[[#This Row],[Age]]&lt;=22,"Young Adult","Adult"))</f>
        <v>Teen</v>
      </c>
    </row>
    <row r="106" spans="1:14" x14ac:dyDescent="0.35">
      <c r="A106" t="s">
        <v>151</v>
      </c>
      <c r="B106">
        <v>23</v>
      </c>
      <c r="C106" t="s">
        <v>42</v>
      </c>
      <c r="D106" t="s">
        <v>34</v>
      </c>
      <c r="E106">
        <v>5</v>
      </c>
      <c r="F106" t="s">
        <v>26</v>
      </c>
      <c r="G106">
        <v>2.5099999999999998</v>
      </c>
      <c r="H106">
        <v>2.71</v>
      </c>
      <c r="I106">
        <f t="shared" si="1"/>
        <v>0.20000000000000018</v>
      </c>
      <c r="J106">
        <v>11</v>
      </c>
      <c r="K106" t="s">
        <v>27</v>
      </c>
      <c r="L106">
        <v>6</v>
      </c>
      <c r="M106" t="s">
        <v>74</v>
      </c>
      <c r="N106" t="str">
        <f>IF(Table1[[#This Row],[Age]]&lt;20,"Teen",IF(Table1[[#This Row],[Age]]&lt;=22,"Young Adult","Adult"))</f>
        <v>Adult</v>
      </c>
    </row>
    <row r="107" spans="1:14" x14ac:dyDescent="0.35">
      <c r="A107" t="s">
        <v>152</v>
      </c>
      <c r="B107">
        <v>25</v>
      </c>
      <c r="C107" t="s">
        <v>13</v>
      </c>
      <c r="D107" t="s">
        <v>31</v>
      </c>
      <c r="E107">
        <v>9</v>
      </c>
      <c r="F107" t="s">
        <v>15</v>
      </c>
      <c r="G107">
        <v>3.74</v>
      </c>
      <c r="H107">
        <v>3.64</v>
      </c>
      <c r="I107">
        <f t="shared" si="1"/>
        <v>-0.10000000000000009</v>
      </c>
      <c r="J107">
        <v>5</v>
      </c>
      <c r="K107" t="s">
        <v>32</v>
      </c>
      <c r="L107">
        <v>7</v>
      </c>
      <c r="M107" t="s">
        <v>35</v>
      </c>
      <c r="N107" t="str">
        <f>IF(Table1[[#This Row],[Age]]&lt;20,"Teen",IF(Table1[[#This Row],[Age]]&lt;=22,"Young Adult","Adult"))</f>
        <v>Adult</v>
      </c>
    </row>
    <row r="108" spans="1:14" x14ac:dyDescent="0.35">
      <c r="A108" t="s">
        <v>153</v>
      </c>
      <c r="B108">
        <v>24</v>
      </c>
      <c r="C108" t="s">
        <v>30</v>
      </c>
      <c r="D108" t="s">
        <v>34</v>
      </c>
      <c r="E108">
        <v>1</v>
      </c>
      <c r="F108" t="s">
        <v>40</v>
      </c>
      <c r="G108">
        <v>3.92</v>
      </c>
      <c r="H108">
        <v>4</v>
      </c>
      <c r="I108">
        <f t="shared" si="1"/>
        <v>8.0000000000000071E-2</v>
      </c>
      <c r="J108">
        <v>14</v>
      </c>
      <c r="K108" t="s">
        <v>16</v>
      </c>
      <c r="L108">
        <v>9</v>
      </c>
      <c r="M108" t="s">
        <v>100</v>
      </c>
      <c r="N108" t="str">
        <f>IF(Table1[[#This Row],[Age]]&lt;20,"Teen",IF(Table1[[#This Row],[Age]]&lt;=22,"Young Adult","Adult"))</f>
        <v>Adult</v>
      </c>
    </row>
    <row r="109" spans="1:14" x14ac:dyDescent="0.35">
      <c r="A109" t="s">
        <v>154</v>
      </c>
      <c r="B109">
        <v>23</v>
      </c>
      <c r="C109" t="s">
        <v>42</v>
      </c>
      <c r="D109" t="s">
        <v>31</v>
      </c>
      <c r="E109">
        <v>1</v>
      </c>
      <c r="F109" t="s">
        <v>15</v>
      </c>
      <c r="G109">
        <v>3.36</v>
      </c>
      <c r="H109">
        <v>3.36</v>
      </c>
      <c r="I109">
        <f t="shared" si="1"/>
        <v>0</v>
      </c>
      <c r="J109">
        <v>10</v>
      </c>
      <c r="K109" t="s">
        <v>32</v>
      </c>
      <c r="L109">
        <v>2</v>
      </c>
      <c r="M109" t="s">
        <v>48</v>
      </c>
      <c r="N109" t="str">
        <f>IF(Table1[[#This Row],[Age]]&lt;20,"Teen",IF(Table1[[#This Row],[Age]]&lt;=22,"Young Adult","Adult"))</f>
        <v>Adult</v>
      </c>
    </row>
    <row r="110" spans="1:14" x14ac:dyDescent="0.35">
      <c r="A110" t="s">
        <v>155</v>
      </c>
      <c r="B110">
        <v>22</v>
      </c>
      <c r="C110" t="s">
        <v>39</v>
      </c>
      <c r="D110" t="s">
        <v>25</v>
      </c>
      <c r="E110">
        <v>7</v>
      </c>
      <c r="F110" t="s">
        <v>21</v>
      </c>
      <c r="G110">
        <v>2.58</v>
      </c>
      <c r="H110">
        <v>2.58</v>
      </c>
      <c r="I110">
        <f t="shared" si="1"/>
        <v>0</v>
      </c>
      <c r="J110">
        <v>4</v>
      </c>
      <c r="K110" t="s">
        <v>16</v>
      </c>
      <c r="L110">
        <v>2</v>
      </c>
      <c r="M110" t="s">
        <v>17</v>
      </c>
      <c r="N110" t="str">
        <f>IF(Table1[[#This Row],[Age]]&lt;20,"Teen",IF(Table1[[#This Row],[Age]]&lt;=22,"Young Adult","Adult"))</f>
        <v>Young Adult</v>
      </c>
    </row>
    <row r="111" spans="1:14" x14ac:dyDescent="0.35">
      <c r="A111" t="s">
        <v>156</v>
      </c>
      <c r="B111">
        <v>19</v>
      </c>
      <c r="C111" t="s">
        <v>39</v>
      </c>
      <c r="D111" t="s">
        <v>31</v>
      </c>
      <c r="E111">
        <v>4</v>
      </c>
      <c r="F111" t="s">
        <v>15</v>
      </c>
      <c r="G111">
        <v>3.03</v>
      </c>
      <c r="H111">
        <v>3.03</v>
      </c>
      <c r="I111">
        <f t="shared" si="1"/>
        <v>0</v>
      </c>
      <c r="J111">
        <v>12</v>
      </c>
      <c r="K111" t="s">
        <v>32</v>
      </c>
      <c r="L111">
        <v>7</v>
      </c>
      <c r="M111" t="s">
        <v>22</v>
      </c>
      <c r="N111" t="str">
        <f>IF(Table1[[#This Row],[Age]]&lt;20,"Teen",IF(Table1[[#This Row],[Age]]&lt;=22,"Young Adult","Adult"))</f>
        <v>Teen</v>
      </c>
    </row>
    <row r="112" spans="1:14" x14ac:dyDescent="0.35">
      <c r="A112" t="s">
        <v>157</v>
      </c>
      <c r="B112">
        <v>20</v>
      </c>
      <c r="C112" t="s">
        <v>42</v>
      </c>
      <c r="D112" t="s">
        <v>31</v>
      </c>
      <c r="E112">
        <v>3</v>
      </c>
      <c r="F112" t="s">
        <v>15</v>
      </c>
      <c r="G112">
        <v>3.27</v>
      </c>
      <c r="H112">
        <v>3.27</v>
      </c>
      <c r="I112">
        <f t="shared" si="1"/>
        <v>0</v>
      </c>
      <c r="J112">
        <v>2</v>
      </c>
      <c r="K112" t="s">
        <v>16</v>
      </c>
      <c r="L112">
        <v>9</v>
      </c>
      <c r="M112" t="s">
        <v>52</v>
      </c>
      <c r="N112" t="str">
        <f>IF(Table1[[#This Row],[Age]]&lt;20,"Teen",IF(Table1[[#This Row],[Age]]&lt;=22,"Young Adult","Adult"))</f>
        <v>Young Adult</v>
      </c>
    </row>
    <row r="113" spans="1:14" x14ac:dyDescent="0.35">
      <c r="A113" t="s">
        <v>158</v>
      </c>
      <c r="B113">
        <v>18</v>
      </c>
      <c r="C113" t="s">
        <v>19</v>
      </c>
      <c r="D113" t="s">
        <v>31</v>
      </c>
      <c r="E113">
        <v>4</v>
      </c>
      <c r="F113" t="s">
        <v>21</v>
      </c>
      <c r="G113">
        <v>2.98</v>
      </c>
      <c r="H113">
        <v>3.08</v>
      </c>
      <c r="I113">
        <f t="shared" si="1"/>
        <v>0.10000000000000009</v>
      </c>
      <c r="J113">
        <v>9</v>
      </c>
      <c r="K113" t="s">
        <v>32</v>
      </c>
      <c r="L113">
        <v>1</v>
      </c>
      <c r="M113" t="s">
        <v>64</v>
      </c>
      <c r="N113" t="str">
        <f>IF(Table1[[#This Row],[Age]]&lt;20,"Teen",IF(Table1[[#This Row],[Age]]&lt;=22,"Young Adult","Adult"))</f>
        <v>Teen</v>
      </c>
    </row>
    <row r="114" spans="1:14" x14ac:dyDescent="0.35">
      <c r="A114" t="s">
        <v>159</v>
      </c>
      <c r="B114">
        <v>23</v>
      </c>
      <c r="C114" t="s">
        <v>42</v>
      </c>
      <c r="D114" t="s">
        <v>25</v>
      </c>
      <c r="E114">
        <v>10</v>
      </c>
      <c r="F114" t="s">
        <v>40</v>
      </c>
      <c r="G114">
        <v>2.97</v>
      </c>
      <c r="H114">
        <v>3.17</v>
      </c>
      <c r="I114">
        <f t="shared" si="1"/>
        <v>0.19999999999999973</v>
      </c>
      <c r="J114">
        <v>2</v>
      </c>
      <c r="K114" t="s">
        <v>32</v>
      </c>
      <c r="L114">
        <v>9</v>
      </c>
      <c r="M114" t="s">
        <v>43</v>
      </c>
      <c r="N114" t="str">
        <f>IF(Table1[[#This Row],[Age]]&lt;20,"Teen",IF(Table1[[#This Row],[Age]]&lt;=22,"Young Adult","Adult"))</f>
        <v>Adult</v>
      </c>
    </row>
    <row r="115" spans="1:14" x14ac:dyDescent="0.35">
      <c r="A115" t="s">
        <v>160</v>
      </c>
      <c r="B115">
        <v>21</v>
      </c>
      <c r="C115" t="s">
        <v>13</v>
      </c>
      <c r="D115" t="s">
        <v>31</v>
      </c>
      <c r="E115">
        <v>8</v>
      </c>
      <c r="F115" t="s">
        <v>40</v>
      </c>
      <c r="G115">
        <v>3.14</v>
      </c>
      <c r="H115">
        <v>3.24</v>
      </c>
      <c r="I115">
        <f t="shared" si="1"/>
        <v>0.10000000000000009</v>
      </c>
      <c r="J115">
        <v>4</v>
      </c>
      <c r="K115" t="s">
        <v>32</v>
      </c>
      <c r="L115">
        <v>10</v>
      </c>
      <c r="M115" t="s">
        <v>60</v>
      </c>
      <c r="N115" t="str">
        <f>IF(Table1[[#This Row],[Age]]&lt;20,"Teen",IF(Table1[[#This Row],[Age]]&lt;=22,"Young Adult","Adult"))</f>
        <v>Young Adult</v>
      </c>
    </row>
    <row r="116" spans="1:14" x14ac:dyDescent="0.35">
      <c r="A116" t="s">
        <v>161</v>
      </c>
      <c r="B116">
        <v>18</v>
      </c>
      <c r="C116" t="s">
        <v>19</v>
      </c>
      <c r="D116" t="s">
        <v>14</v>
      </c>
      <c r="E116">
        <v>2</v>
      </c>
      <c r="F116" t="s">
        <v>15</v>
      </c>
      <c r="G116">
        <v>3.82</v>
      </c>
      <c r="H116">
        <v>3.92</v>
      </c>
      <c r="I116">
        <f t="shared" si="1"/>
        <v>0.10000000000000009</v>
      </c>
      <c r="J116">
        <v>13</v>
      </c>
      <c r="K116" t="s">
        <v>16</v>
      </c>
      <c r="L116">
        <v>9</v>
      </c>
      <c r="M116" t="s">
        <v>66</v>
      </c>
      <c r="N116" t="str">
        <f>IF(Table1[[#This Row],[Age]]&lt;20,"Teen",IF(Table1[[#This Row],[Age]]&lt;=22,"Young Adult","Adult"))</f>
        <v>Teen</v>
      </c>
    </row>
    <row r="117" spans="1:14" x14ac:dyDescent="0.35">
      <c r="A117" t="s">
        <v>162</v>
      </c>
      <c r="B117">
        <v>21</v>
      </c>
      <c r="C117" t="s">
        <v>42</v>
      </c>
      <c r="D117" t="s">
        <v>14</v>
      </c>
      <c r="E117">
        <v>3</v>
      </c>
      <c r="F117" t="s">
        <v>40</v>
      </c>
      <c r="G117">
        <v>3.4</v>
      </c>
      <c r="H117">
        <v>3.4</v>
      </c>
      <c r="I117">
        <f t="shared" si="1"/>
        <v>0</v>
      </c>
      <c r="J117">
        <v>9</v>
      </c>
      <c r="K117" t="s">
        <v>32</v>
      </c>
      <c r="L117">
        <v>3</v>
      </c>
      <c r="M117" t="s">
        <v>43</v>
      </c>
      <c r="N117" t="str">
        <f>IF(Table1[[#This Row],[Age]]&lt;20,"Teen",IF(Table1[[#This Row],[Age]]&lt;=22,"Young Adult","Adult"))</f>
        <v>Young Adult</v>
      </c>
    </row>
    <row r="118" spans="1:14" x14ac:dyDescent="0.35">
      <c r="A118" t="s">
        <v>163</v>
      </c>
      <c r="B118">
        <v>18</v>
      </c>
      <c r="C118" t="s">
        <v>39</v>
      </c>
      <c r="D118" t="s">
        <v>20</v>
      </c>
      <c r="E118">
        <v>7</v>
      </c>
      <c r="F118" t="s">
        <v>56</v>
      </c>
      <c r="G118">
        <v>3.77</v>
      </c>
      <c r="H118">
        <v>3.87</v>
      </c>
      <c r="I118">
        <f t="shared" si="1"/>
        <v>0.10000000000000009</v>
      </c>
      <c r="J118">
        <v>12</v>
      </c>
      <c r="K118" t="s">
        <v>32</v>
      </c>
      <c r="L118">
        <v>5</v>
      </c>
      <c r="M118" t="s">
        <v>64</v>
      </c>
      <c r="N118" t="str">
        <f>IF(Table1[[#This Row],[Age]]&lt;20,"Teen",IF(Table1[[#This Row],[Age]]&lt;=22,"Young Adult","Adult"))</f>
        <v>Teen</v>
      </c>
    </row>
    <row r="119" spans="1:14" x14ac:dyDescent="0.35">
      <c r="A119" t="s">
        <v>164</v>
      </c>
      <c r="B119">
        <v>19</v>
      </c>
      <c r="C119" t="s">
        <v>39</v>
      </c>
      <c r="D119" t="s">
        <v>14</v>
      </c>
      <c r="E119">
        <v>1</v>
      </c>
      <c r="F119" t="s">
        <v>15</v>
      </c>
      <c r="G119">
        <v>3.41</v>
      </c>
      <c r="H119">
        <v>3.31</v>
      </c>
      <c r="I119">
        <f t="shared" si="1"/>
        <v>-0.10000000000000009</v>
      </c>
      <c r="J119">
        <v>6</v>
      </c>
      <c r="K119" t="s">
        <v>16</v>
      </c>
      <c r="L119">
        <v>1</v>
      </c>
      <c r="M119" t="s">
        <v>52</v>
      </c>
      <c r="N119" t="str">
        <f>IF(Table1[[#This Row],[Age]]&lt;20,"Teen",IF(Table1[[#This Row],[Age]]&lt;=22,"Young Adult","Adult"))</f>
        <v>Teen</v>
      </c>
    </row>
    <row r="120" spans="1:14" x14ac:dyDescent="0.35">
      <c r="A120" t="s">
        <v>165</v>
      </c>
      <c r="B120">
        <v>24</v>
      </c>
      <c r="C120" t="s">
        <v>42</v>
      </c>
      <c r="D120" t="s">
        <v>31</v>
      </c>
      <c r="E120">
        <v>1</v>
      </c>
      <c r="F120" t="s">
        <v>15</v>
      </c>
      <c r="G120">
        <v>3.59</v>
      </c>
      <c r="H120">
        <v>3.59</v>
      </c>
      <c r="I120">
        <f t="shared" si="1"/>
        <v>0</v>
      </c>
      <c r="J120">
        <v>13</v>
      </c>
      <c r="K120" t="s">
        <v>32</v>
      </c>
      <c r="L120">
        <v>7</v>
      </c>
      <c r="M120" t="s">
        <v>87</v>
      </c>
      <c r="N120" t="str">
        <f>IF(Table1[[#This Row],[Age]]&lt;20,"Teen",IF(Table1[[#This Row],[Age]]&lt;=22,"Young Adult","Adult"))</f>
        <v>Adult</v>
      </c>
    </row>
    <row r="121" spans="1:14" x14ac:dyDescent="0.35">
      <c r="A121" t="s">
        <v>166</v>
      </c>
      <c r="B121">
        <v>24</v>
      </c>
      <c r="C121" t="s">
        <v>30</v>
      </c>
      <c r="D121" t="s">
        <v>34</v>
      </c>
      <c r="E121">
        <v>8</v>
      </c>
      <c r="F121" t="s">
        <v>15</v>
      </c>
      <c r="G121">
        <v>2.78</v>
      </c>
      <c r="H121">
        <v>2.78</v>
      </c>
      <c r="I121">
        <f t="shared" si="1"/>
        <v>0</v>
      </c>
      <c r="J121">
        <v>2</v>
      </c>
      <c r="K121" t="s">
        <v>27</v>
      </c>
      <c r="L121">
        <v>8</v>
      </c>
      <c r="M121" t="s">
        <v>52</v>
      </c>
      <c r="N121" t="str">
        <f>IF(Table1[[#This Row],[Age]]&lt;20,"Teen",IF(Table1[[#This Row],[Age]]&lt;=22,"Young Adult","Adult"))</f>
        <v>Adult</v>
      </c>
    </row>
    <row r="122" spans="1:14" x14ac:dyDescent="0.35">
      <c r="A122" t="s">
        <v>167</v>
      </c>
      <c r="B122">
        <v>21</v>
      </c>
      <c r="C122" t="s">
        <v>39</v>
      </c>
      <c r="D122" t="s">
        <v>14</v>
      </c>
      <c r="E122">
        <v>9</v>
      </c>
      <c r="F122" t="s">
        <v>26</v>
      </c>
      <c r="G122">
        <v>3</v>
      </c>
      <c r="H122">
        <v>3</v>
      </c>
      <c r="I122">
        <f t="shared" si="1"/>
        <v>0</v>
      </c>
      <c r="J122">
        <v>10</v>
      </c>
      <c r="K122" t="s">
        <v>32</v>
      </c>
      <c r="L122">
        <v>3</v>
      </c>
      <c r="M122" t="s">
        <v>45</v>
      </c>
      <c r="N122" t="str">
        <f>IF(Table1[[#This Row],[Age]]&lt;20,"Teen",IF(Table1[[#This Row],[Age]]&lt;=22,"Young Adult","Adult"))</f>
        <v>Young Adult</v>
      </c>
    </row>
    <row r="123" spans="1:14" x14ac:dyDescent="0.35">
      <c r="A123" t="s">
        <v>168</v>
      </c>
      <c r="B123">
        <v>18</v>
      </c>
      <c r="C123" t="s">
        <v>19</v>
      </c>
      <c r="D123" t="s">
        <v>25</v>
      </c>
      <c r="E123">
        <v>5</v>
      </c>
      <c r="F123" t="s">
        <v>56</v>
      </c>
      <c r="G123">
        <v>3.24</v>
      </c>
      <c r="H123">
        <v>3.44</v>
      </c>
      <c r="I123">
        <f t="shared" si="1"/>
        <v>0.19999999999999973</v>
      </c>
      <c r="J123">
        <v>8</v>
      </c>
      <c r="K123" t="s">
        <v>27</v>
      </c>
      <c r="L123">
        <v>5</v>
      </c>
      <c r="M123" t="s">
        <v>48</v>
      </c>
      <c r="N123" t="str">
        <f>IF(Table1[[#This Row],[Age]]&lt;20,"Teen",IF(Table1[[#This Row],[Age]]&lt;=22,"Young Adult","Adult"))</f>
        <v>Teen</v>
      </c>
    </row>
    <row r="124" spans="1:14" x14ac:dyDescent="0.35">
      <c r="A124" t="s">
        <v>169</v>
      </c>
      <c r="B124">
        <v>25</v>
      </c>
      <c r="C124" t="s">
        <v>42</v>
      </c>
      <c r="D124" t="s">
        <v>31</v>
      </c>
      <c r="E124">
        <v>3</v>
      </c>
      <c r="F124" t="s">
        <v>56</v>
      </c>
      <c r="G124">
        <v>2.94</v>
      </c>
      <c r="H124">
        <v>3.24</v>
      </c>
      <c r="I124">
        <f t="shared" si="1"/>
        <v>0.30000000000000027</v>
      </c>
      <c r="J124">
        <v>7</v>
      </c>
      <c r="K124" t="s">
        <v>16</v>
      </c>
      <c r="L124">
        <v>1</v>
      </c>
      <c r="M124" t="s">
        <v>66</v>
      </c>
      <c r="N124" t="str">
        <f>IF(Table1[[#This Row],[Age]]&lt;20,"Teen",IF(Table1[[#This Row],[Age]]&lt;=22,"Young Adult","Adult"))</f>
        <v>Adult</v>
      </c>
    </row>
    <row r="125" spans="1:14" x14ac:dyDescent="0.35">
      <c r="A125" t="s">
        <v>170</v>
      </c>
      <c r="B125">
        <v>22</v>
      </c>
      <c r="C125" t="s">
        <v>24</v>
      </c>
      <c r="D125" t="s">
        <v>25</v>
      </c>
      <c r="E125">
        <v>8</v>
      </c>
      <c r="F125" t="s">
        <v>21</v>
      </c>
      <c r="G125">
        <v>3.84</v>
      </c>
      <c r="H125">
        <v>3.74</v>
      </c>
      <c r="I125">
        <f t="shared" si="1"/>
        <v>-9.9999999999999645E-2</v>
      </c>
      <c r="J125">
        <v>9</v>
      </c>
      <c r="K125" t="s">
        <v>16</v>
      </c>
      <c r="L125">
        <v>2</v>
      </c>
      <c r="M125" t="s">
        <v>74</v>
      </c>
      <c r="N125" t="str">
        <f>IF(Table1[[#This Row],[Age]]&lt;20,"Teen",IF(Table1[[#This Row],[Age]]&lt;=22,"Young Adult","Adult"))</f>
        <v>Young Adult</v>
      </c>
    </row>
    <row r="126" spans="1:14" x14ac:dyDescent="0.35">
      <c r="A126" t="s">
        <v>171</v>
      </c>
      <c r="B126">
        <v>25</v>
      </c>
      <c r="C126" t="s">
        <v>42</v>
      </c>
      <c r="D126" t="s">
        <v>31</v>
      </c>
      <c r="E126">
        <v>2</v>
      </c>
      <c r="F126" t="s">
        <v>56</v>
      </c>
      <c r="G126">
        <v>3.47</v>
      </c>
      <c r="H126">
        <v>3.77</v>
      </c>
      <c r="I126">
        <f t="shared" si="1"/>
        <v>0.29999999999999982</v>
      </c>
      <c r="J126">
        <v>9</v>
      </c>
      <c r="K126" t="s">
        <v>27</v>
      </c>
      <c r="L126">
        <v>3</v>
      </c>
      <c r="M126" t="s">
        <v>22</v>
      </c>
      <c r="N126" t="str">
        <f>IF(Table1[[#This Row],[Age]]&lt;20,"Teen",IF(Table1[[#This Row],[Age]]&lt;=22,"Young Adult","Adult"))</f>
        <v>Adult</v>
      </c>
    </row>
    <row r="127" spans="1:14" x14ac:dyDescent="0.35">
      <c r="A127" t="s">
        <v>172</v>
      </c>
      <c r="B127">
        <v>19</v>
      </c>
      <c r="C127" t="s">
        <v>19</v>
      </c>
      <c r="D127" t="s">
        <v>31</v>
      </c>
      <c r="E127">
        <v>3</v>
      </c>
      <c r="F127" t="s">
        <v>15</v>
      </c>
      <c r="G127">
        <v>3.6</v>
      </c>
      <c r="H127">
        <v>3.6</v>
      </c>
      <c r="I127">
        <f t="shared" si="1"/>
        <v>0</v>
      </c>
      <c r="J127">
        <v>12</v>
      </c>
      <c r="K127" t="s">
        <v>27</v>
      </c>
      <c r="L127">
        <v>6</v>
      </c>
      <c r="M127" t="s">
        <v>60</v>
      </c>
      <c r="N127" t="str">
        <f>IF(Table1[[#This Row],[Age]]&lt;20,"Teen",IF(Table1[[#This Row],[Age]]&lt;=22,"Young Adult","Adult"))</f>
        <v>Teen</v>
      </c>
    </row>
    <row r="128" spans="1:14" x14ac:dyDescent="0.35">
      <c r="A128" t="s">
        <v>173</v>
      </c>
      <c r="B128">
        <v>25</v>
      </c>
      <c r="C128" t="s">
        <v>42</v>
      </c>
      <c r="D128" t="s">
        <v>14</v>
      </c>
      <c r="E128">
        <v>1</v>
      </c>
      <c r="F128" t="s">
        <v>15</v>
      </c>
      <c r="G128">
        <v>3.77</v>
      </c>
      <c r="H128">
        <v>4</v>
      </c>
      <c r="I128">
        <f t="shared" si="1"/>
        <v>0.22999999999999998</v>
      </c>
      <c r="J128">
        <v>13</v>
      </c>
      <c r="K128" t="s">
        <v>27</v>
      </c>
      <c r="L128">
        <v>8</v>
      </c>
      <c r="M128" t="s">
        <v>87</v>
      </c>
      <c r="N128" t="str">
        <f>IF(Table1[[#This Row],[Age]]&lt;20,"Teen",IF(Table1[[#This Row],[Age]]&lt;=22,"Young Adult","Adult"))</f>
        <v>Adult</v>
      </c>
    </row>
    <row r="129" spans="1:14" x14ac:dyDescent="0.35">
      <c r="A129" t="s">
        <v>174</v>
      </c>
      <c r="B129">
        <v>20</v>
      </c>
      <c r="C129" t="s">
        <v>42</v>
      </c>
      <c r="D129" t="s">
        <v>25</v>
      </c>
      <c r="E129">
        <v>8</v>
      </c>
      <c r="F129" t="s">
        <v>26</v>
      </c>
      <c r="G129">
        <v>3.15</v>
      </c>
      <c r="H129">
        <v>3.15</v>
      </c>
      <c r="I129">
        <f t="shared" si="1"/>
        <v>0</v>
      </c>
      <c r="J129">
        <v>9</v>
      </c>
      <c r="K129" t="s">
        <v>16</v>
      </c>
      <c r="L129">
        <v>7</v>
      </c>
      <c r="M129" t="s">
        <v>45</v>
      </c>
      <c r="N129" t="str">
        <f>IF(Table1[[#This Row],[Age]]&lt;20,"Teen",IF(Table1[[#This Row],[Age]]&lt;=22,"Young Adult","Adult"))</f>
        <v>Young Adult</v>
      </c>
    </row>
    <row r="130" spans="1:14" x14ac:dyDescent="0.35">
      <c r="A130" t="s">
        <v>175</v>
      </c>
      <c r="B130">
        <v>24</v>
      </c>
      <c r="C130" t="s">
        <v>39</v>
      </c>
      <c r="D130" t="s">
        <v>25</v>
      </c>
      <c r="E130">
        <v>7</v>
      </c>
      <c r="F130" t="s">
        <v>21</v>
      </c>
      <c r="G130">
        <v>3.17</v>
      </c>
      <c r="H130">
        <v>3.37</v>
      </c>
      <c r="I130">
        <f t="shared" si="1"/>
        <v>0.20000000000000018</v>
      </c>
      <c r="J130">
        <v>10</v>
      </c>
      <c r="K130" t="s">
        <v>32</v>
      </c>
      <c r="L130">
        <v>5</v>
      </c>
      <c r="M130" t="s">
        <v>28</v>
      </c>
      <c r="N130" t="str">
        <f>IF(Table1[[#This Row],[Age]]&lt;20,"Teen",IF(Table1[[#This Row],[Age]]&lt;=22,"Young Adult","Adult"))</f>
        <v>Adult</v>
      </c>
    </row>
    <row r="131" spans="1:14" x14ac:dyDescent="0.35">
      <c r="A131" t="s">
        <v>176</v>
      </c>
      <c r="B131">
        <v>19</v>
      </c>
      <c r="C131" t="s">
        <v>30</v>
      </c>
      <c r="D131" t="s">
        <v>31</v>
      </c>
      <c r="E131">
        <v>6</v>
      </c>
      <c r="F131" t="s">
        <v>21</v>
      </c>
      <c r="G131">
        <v>2.57</v>
      </c>
      <c r="H131">
        <v>2.4700000000000002</v>
      </c>
      <c r="I131">
        <f t="shared" ref="I131:I194" si="2">H131-G131</f>
        <v>-9.9999999999999645E-2</v>
      </c>
      <c r="J131">
        <v>3</v>
      </c>
      <c r="K131" t="s">
        <v>32</v>
      </c>
      <c r="L131">
        <v>10</v>
      </c>
      <c r="M131" t="s">
        <v>87</v>
      </c>
      <c r="N131" t="str">
        <f>IF(Table1[[#This Row],[Age]]&lt;20,"Teen",IF(Table1[[#This Row],[Age]]&lt;=22,"Young Adult","Adult"))</f>
        <v>Teen</v>
      </c>
    </row>
    <row r="132" spans="1:14" x14ac:dyDescent="0.35">
      <c r="A132" t="s">
        <v>177</v>
      </c>
      <c r="B132">
        <v>21</v>
      </c>
      <c r="C132" t="s">
        <v>13</v>
      </c>
      <c r="D132" t="s">
        <v>20</v>
      </c>
      <c r="E132">
        <v>10</v>
      </c>
      <c r="F132" t="s">
        <v>15</v>
      </c>
      <c r="G132">
        <v>3.31</v>
      </c>
      <c r="H132">
        <v>3.21</v>
      </c>
      <c r="I132">
        <f t="shared" si="2"/>
        <v>-0.10000000000000009</v>
      </c>
      <c r="J132">
        <v>8</v>
      </c>
      <c r="K132" t="s">
        <v>16</v>
      </c>
      <c r="L132">
        <v>3</v>
      </c>
      <c r="M132" t="s">
        <v>17</v>
      </c>
      <c r="N132" t="str">
        <f>IF(Table1[[#This Row],[Age]]&lt;20,"Teen",IF(Table1[[#This Row],[Age]]&lt;=22,"Young Adult","Adult"))</f>
        <v>Young Adult</v>
      </c>
    </row>
    <row r="133" spans="1:14" x14ac:dyDescent="0.35">
      <c r="A133" t="s">
        <v>178</v>
      </c>
      <c r="B133">
        <v>21</v>
      </c>
      <c r="C133" t="s">
        <v>24</v>
      </c>
      <c r="D133" t="s">
        <v>25</v>
      </c>
      <c r="E133">
        <v>9</v>
      </c>
      <c r="F133" t="s">
        <v>40</v>
      </c>
      <c r="G133">
        <v>3.05</v>
      </c>
      <c r="H133">
        <v>3.15</v>
      </c>
      <c r="I133">
        <f t="shared" si="2"/>
        <v>0.10000000000000009</v>
      </c>
      <c r="J133">
        <v>6</v>
      </c>
      <c r="K133" t="s">
        <v>16</v>
      </c>
      <c r="L133">
        <v>6</v>
      </c>
      <c r="M133" t="s">
        <v>87</v>
      </c>
      <c r="N133" t="str">
        <f>IF(Table1[[#This Row],[Age]]&lt;20,"Teen",IF(Table1[[#This Row],[Age]]&lt;=22,"Young Adult","Adult"))</f>
        <v>Young Adult</v>
      </c>
    </row>
    <row r="134" spans="1:14" x14ac:dyDescent="0.35">
      <c r="A134" t="s">
        <v>179</v>
      </c>
      <c r="B134">
        <v>25</v>
      </c>
      <c r="C134" t="s">
        <v>19</v>
      </c>
      <c r="D134" t="s">
        <v>25</v>
      </c>
      <c r="E134">
        <v>5</v>
      </c>
      <c r="F134" t="s">
        <v>21</v>
      </c>
      <c r="G134">
        <v>3.64</v>
      </c>
      <c r="H134">
        <v>3.74</v>
      </c>
      <c r="I134">
        <f t="shared" si="2"/>
        <v>0.10000000000000009</v>
      </c>
      <c r="J134">
        <v>9</v>
      </c>
      <c r="K134" t="s">
        <v>27</v>
      </c>
      <c r="L134">
        <v>10</v>
      </c>
      <c r="M134" t="s">
        <v>50</v>
      </c>
      <c r="N134" t="str">
        <f>IF(Table1[[#This Row],[Age]]&lt;20,"Teen",IF(Table1[[#This Row],[Age]]&lt;=22,"Young Adult","Adult"))</f>
        <v>Adult</v>
      </c>
    </row>
    <row r="135" spans="1:14" x14ac:dyDescent="0.35">
      <c r="A135" t="s">
        <v>180</v>
      </c>
      <c r="B135">
        <v>24</v>
      </c>
      <c r="C135" t="s">
        <v>13</v>
      </c>
      <c r="D135" t="s">
        <v>31</v>
      </c>
      <c r="E135">
        <v>10</v>
      </c>
      <c r="F135" t="s">
        <v>26</v>
      </c>
      <c r="G135">
        <v>3.45</v>
      </c>
      <c r="H135">
        <v>3.75</v>
      </c>
      <c r="I135">
        <f t="shared" si="2"/>
        <v>0.29999999999999982</v>
      </c>
      <c r="J135">
        <v>12</v>
      </c>
      <c r="K135" t="s">
        <v>16</v>
      </c>
      <c r="L135">
        <v>8</v>
      </c>
      <c r="M135" t="s">
        <v>37</v>
      </c>
      <c r="N135" t="str">
        <f>IF(Table1[[#This Row],[Age]]&lt;20,"Teen",IF(Table1[[#This Row],[Age]]&lt;=22,"Young Adult","Adult"))</f>
        <v>Adult</v>
      </c>
    </row>
    <row r="136" spans="1:14" x14ac:dyDescent="0.35">
      <c r="A136" t="s">
        <v>181</v>
      </c>
      <c r="B136">
        <v>18</v>
      </c>
      <c r="C136" t="s">
        <v>13</v>
      </c>
      <c r="D136" t="s">
        <v>14</v>
      </c>
      <c r="E136">
        <v>8</v>
      </c>
      <c r="F136" t="s">
        <v>40</v>
      </c>
      <c r="G136">
        <v>3.48</v>
      </c>
      <c r="H136">
        <v>3.48</v>
      </c>
      <c r="I136">
        <f t="shared" si="2"/>
        <v>0</v>
      </c>
      <c r="J136">
        <v>3</v>
      </c>
      <c r="K136" t="s">
        <v>16</v>
      </c>
      <c r="L136">
        <v>5</v>
      </c>
      <c r="M136" t="s">
        <v>52</v>
      </c>
      <c r="N136" t="str">
        <f>IF(Table1[[#This Row],[Age]]&lt;20,"Teen",IF(Table1[[#This Row],[Age]]&lt;=22,"Young Adult","Adult"))</f>
        <v>Teen</v>
      </c>
    </row>
    <row r="137" spans="1:14" x14ac:dyDescent="0.35">
      <c r="A137" t="s">
        <v>182</v>
      </c>
      <c r="B137">
        <v>20</v>
      </c>
      <c r="C137" t="s">
        <v>39</v>
      </c>
      <c r="D137" t="s">
        <v>14</v>
      </c>
      <c r="E137">
        <v>6</v>
      </c>
      <c r="F137" t="s">
        <v>15</v>
      </c>
      <c r="G137">
        <v>3.84</v>
      </c>
      <c r="H137">
        <v>3.74</v>
      </c>
      <c r="I137">
        <f t="shared" si="2"/>
        <v>-9.9999999999999645E-2</v>
      </c>
      <c r="J137">
        <v>7</v>
      </c>
      <c r="K137" t="s">
        <v>16</v>
      </c>
      <c r="L137">
        <v>9</v>
      </c>
      <c r="M137" t="s">
        <v>50</v>
      </c>
      <c r="N137" t="str">
        <f>IF(Table1[[#This Row],[Age]]&lt;20,"Teen",IF(Table1[[#This Row],[Age]]&lt;=22,"Young Adult","Adult"))</f>
        <v>Young Adult</v>
      </c>
    </row>
    <row r="138" spans="1:14" x14ac:dyDescent="0.35">
      <c r="A138" t="s">
        <v>183</v>
      </c>
      <c r="B138">
        <v>23</v>
      </c>
      <c r="C138" t="s">
        <v>24</v>
      </c>
      <c r="D138" t="s">
        <v>20</v>
      </c>
      <c r="E138">
        <v>10</v>
      </c>
      <c r="F138" t="s">
        <v>15</v>
      </c>
      <c r="G138">
        <v>2.88</v>
      </c>
      <c r="H138">
        <v>3.08</v>
      </c>
      <c r="I138">
        <f t="shared" si="2"/>
        <v>0.20000000000000018</v>
      </c>
      <c r="J138">
        <v>15</v>
      </c>
      <c r="K138" t="s">
        <v>16</v>
      </c>
      <c r="L138">
        <v>9</v>
      </c>
      <c r="M138" t="s">
        <v>45</v>
      </c>
      <c r="N138" t="str">
        <f>IF(Table1[[#This Row],[Age]]&lt;20,"Teen",IF(Table1[[#This Row],[Age]]&lt;=22,"Young Adult","Adult"))</f>
        <v>Adult</v>
      </c>
    </row>
    <row r="139" spans="1:14" x14ac:dyDescent="0.35">
      <c r="A139" t="s">
        <v>184</v>
      </c>
      <c r="B139">
        <v>23</v>
      </c>
      <c r="C139" t="s">
        <v>42</v>
      </c>
      <c r="D139" t="s">
        <v>14</v>
      </c>
      <c r="E139">
        <v>5</v>
      </c>
      <c r="F139" t="s">
        <v>26</v>
      </c>
      <c r="G139">
        <v>3.6</v>
      </c>
      <c r="H139">
        <v>3.5</v>
      </c>
      <c r="I139">
        <f t="shared" si="2"/>
        <v>-0.10000000000000009</v>
      </c>
      <c r="J139">
        <v>9</v>
      </c>
      <c r="K139" t="s">
        <v>27</v>
      </c>
      <c r="L139">
        <v>7</v>
      </c>
      <c r="M139" t="s">
        <v>64</v>
      </c>
      <c r="N139" t="str">
        <f>IF(Table1[[#This Row],[Age]]&lt;20,"Teen",IF(Table1[[#This Row],[Age]]&lt;=22,"Young Adult","Adult"))</f>
        <v>Adult</v>
      </c>
    </row>
    <row r="140" spans="1:14" x14ac:dyDescent="0.35">
      <c r="A140" t="s">
        <v>185</v>
      </c>
      <c r="B140">
        <v>24</v>
      </c>
      <c r="C140" t="s">
        <v>30</v>
      </c>
      <c r="D140" t="s">
        <v>31</v>
      </c>
      <c r="E140">
        <v>2</v>
      </c>
      <c r="F140" t="s">
        <v>21</v>
      </c>
      <c r="G140">
        <v>2.86</v>
      </c>
      <c r="H140">
        <v>3.16</v>
      </c>
      <c r="I140">
        <f t="shared" si="2"/>
        <v>0.30000000000000027</v>
      </c>
      <c r="J140">
        <v>11</v>
      </c>
      <c r="K140" t="s">
        <v>16</v>
      </c>
      <c r="L140">
        <v>6</v>
      </c>
      <c r="M140" t="s">
        <v>43</v>
      </c>
      <c r="N140" t="str">
        <f>IF(Table1[[#This Row],[Age]]&lt;20,"Teen",IF(Table1[[#This Row],[Age]]&lt;=22,"Young Adult","Adult"))</f>
        <v>Adult</v>
      </c>
    </row>
    <row r="141" spans="1:14" x14ac:dyDescent="0.35">
      <c r="A141" t="s">
        <v>186</v>
      </c>
      <c r="B141">
        <v>21</v>
      </c>
      <c r="C141" t="s">
        <v>13</v>
      </c>
      <c r="D141" t="s">
        <v>34</v>
      </c>
      <c r="E141">
        <v>5</v>
      </c>
      <c r="F141" t="s">
        <v>15</v>
      </c>
      <c r="G141">
        <v>3.93</v>
      </c>
      <c r="H141">
        <v>4</v>
      </c>
      <c r="I141">
        <f t="shared" si="2"/>
        <v>6.999999999999984E-2</v>
      </c>
      <c r="J141">
        <v>7</v>
      </c>
      <c r="K141" t="s">
        <v>16</v>
      </c>
      <c r="L141">
        <v>1</v>
      </c>
      <c r="M141" t="s">
        <v>60</v>
      </c>
      <c r="N141" t="str">
        <f>IF(Table1[[#This Row],[Age]]&lt;20,"Teen",IF(Table1[[#This Row],[Age]]&lt;=22,"Young Adult","Adult"))</f>
        <v>Young Adult</v>
      </c>
    </row>
    <row r="142" spans="1:14" x14ac:dyDescent="0.35">
      <c r="A142" t="s">
        <v>187</v>
      </c>
      <c r="B142">
        <v>23</v>
      </c>
      <c r="C142" t="s">
        <v>30</v>
      </c>
      <c r="D142" t="s">
        <v>34</v>
      </c>
      <c r="E142">
        <v>8</v>
      </c>
      <c r="F142" t="s">
        <v>26</v>
      </c>
      <c r="G142">
        <v>2.98</v>
      </c>
      <c r="H142">
        <v>3.08</v>
      </c>
      <c r="I142">
        <f t="shared" si="2"/>
        <v>0.10000000000000009</v>
      </c>
      <c r="J142">
        <v>2</v>
      </c>
      <c r="K142" t="s">
        <v>16</v>
      </c>
      <c r="L142">
        <v>1</v>
      </c>
      <c r="M142" t="s">
        <v>17</v>
      </c>
      <c r="N142" t="str">
        <f>IF(Table1[[#This Row],[Age]]&lt;20,"Teen",IF(Table1[[#This Row],[Age]]&lt;=22,"Young Adult","Adult"))</f>
        <v>Adult</v>
      </c>
    </row>
    <row r="143" spans="1:14" x14ac:dyDescent="0.35">
      <c r="A143" t="s">
        <v>188</v>
      </c>
      <c r="B143">
        <v>20</v>
      </c>
      <c r="C143" t="s">
        <v>13</v>
      </c>
      <c r="D143" t="s">
        <v>20</v>
      </c>
      <c r="E143">
        <v>2</v>
      </c>
      <c r="F143" t="s">
        <v>40</v>
      </c>
      <c r="G143">
        <v>3.53</v>
      </c>
      <c r="H143">
        <v>3.43</v>
      </c>
      <c r="I143">
        <f t="shared" si="2"/>
        <v>-9.9999999999999645E-2</v>
      </c>
      <c r="J143">
        <v>11</v>
      </c>
      <c r="K143" t="s">
        <v>32</v>
      </c>
      <c r="L143">
        <v>2</v>
      </c>
      <c r="M143" t="s">
        <v>22</v>
      </c>
      <c r="N143" t="str">
        <f>IF(Table1[[#This Row],[Age]]&lt;20,"Teen",IF(Table1[[#This Row],[Age]]&lt;=22,"Young Adult","Adult"))</f>
        <v>Young Adult</v>
      </c>
    </row>
    <row r="144" spans="1:14" x14ac:dyDescent="0.35">
      <c r="A144" t="s">
        <v>189</v>
      </c>
      <c r="B144">
        <v>23</v>
      </c>
      <c r="C144" t="s">
        <v>30</v>
      </c>
      <c r="D144" t="s">
        <v>34</v>
      </c>
      <c r="E144">
        <v>3</v>
      </c>
      <c r="F144" t="s">
        <v>40</v>
      </c>
      <c r="G144">
        <v>3.58</v>
      </c>
      <c r="H144">
        <v>3.78</v>
      </c>
      <c r="I144">
        <f t="shared" si="2"/>
        <v>0.19999999999999973</v>
      </c>
      <c r="J144">
        <v>5</v>
      </c>
      <c r="K144" t="s">
        <v>27</v>
      </c>
      <c r="L144">
        <v>6</v>
      </c>
      <c r="M144" t="s">
        <v>28</v>
      </c>
      <c r="N144" t="str">
        <f>IF(Table1[[#This Row],[Age]]&lt;20,"Teen",IF(Table1[[#This Row],[Age]]&lt;=22,"Young Adult","Adult"))</f>
        <v>Adult</v>
      </c>
    </row>
    <row r="145" spans="1:14" x14ac:dyDescent="0.35">
      <c r="A145" t="s">
        <v>190</v>
      </c>
      <c r="B145">
        <v>22</v>
      </c>
      <c r="C145" t="s">
        <v>39</v>
      </c>
      <c r="D145" t="s">
        <v>31</v>
      </c>
      <c r="E145">
        <v>10</v>
      </c>
      <c r="F145" t="s">
        <v>40</v>
      </c>
      <c r="G145">
        <v>2.97</v>
      </c>
      <c r="H145">
        <v>2.87</v>
      </c>
      <c r="I145">
        <f t="shared" si="2"/>
        <v>-0.10000000000000009</v>
      </c>
      <c r="J145">
        <v>14</v>
      </c>
      <c r="K145" t="s">
        <v>32</v>
      </c>
      <c r="L145">
        <v>9</v>
      </c>
      <c r="M145" t="s">
        <v>22</v>
      </c>
      <c r="N145" t="str">
        <f>IF(Table1[[#This Row],[Age]]&lt;20,"Teen",IF(Table1[[#This Row],[Age]]&lt;=22,"Young Adult","Adult"))</f>
        <v>Young Adult</v>
      </c>
    </row>
    <row r="146" spans="1:14" x14ac:dyDescent="0.35">
      <c r="A146" t="s">
        <v>191</v>
      </c>
      <c r="B146">
        <v>25</v>
      </c>
      <c r="C146" t="s">
        <v>39</v>
      </c>
      <c r="D146" t="s">
        <v>25</v>
      </c>
      <c r="E146">
        <v>4</v>
      </c>
      <c r="F146" t="s">
        <v>21</v>
      </c>
      <c r="G146">
        <v>3.87</v>
      </c>
      <c r="H146">
        <v>4</v>
      </c>
      <c r="I146">
        <f t="shared" si="2"/>
        <v>0.12999999999999989</v>
      </c>
      <c r="J146">
        <v>5</v>
      </c>
      <c r="K146" t="s">
        <v>32</v>
      </c>
      <c r="L146">
        <v>7</v>
      </c>
      <c r="M146" t="s">
        <v>50</v>
      </c>
      <c r="N146" t="str">
        <f>IF(Table1[[#This Row],[Age]]&lt;20,"Teen",IF(Table1[[#This Row],[Age]]&lt;=22,"Young Adult","Adult"))</f>
        <v>Adult</v>
      </c>
    </row>
    <row r="147" spans="1:14" x14ac:dyDescent="0.35">
      <c r="A147" t="s">
        <v>192</v>
      </c>
      <c r="B147">
        <v>19</v>
      </c>
      <c r="C147" t="s">
        <v>13</v>
      </c>
      <c r="D147" t="s">
        <v>34</v>
      </c>
      <c r="E147">
        <v>1</v>
      </c>
      <c r="F147" t="s">
        <v>15</v>
      </c>
      <c r="G147">
        <v>3.51</v>
      </c>
      <c r="H147">
        <v>3.51</v>
      </c>
      <c r="I147">
        <f t="shared" si="2"/>
        <v>0</v>
      </c>
      <c r="J147">
        <v>13</v>
      </c>
      <c r="K147" t="s">
        <v>27</v>
      </c>
      <c r="L147">
        <v>8</v>
      </c>
      <c r="M147" t="s">
        <v>48</v>
      </c>
      <c r="N147" t="str">
        <f>IF(Table1[[#This Row],[Age]]&lt;20,"Teen",IF(Table1[[#This Row],[Age]]&lt;=22,"Young Adult","Adult"))</f>
        <v>Teen</v>
      </c>
    </row>
    <row r="148" spans="1:14" x14ac:dyDescent="0.35">
      <c r="A148" t="s">
        <v>193</v>
      </c>
      <c r="B148">
        <v>22</v>
      </c>
      <c r="C148" t="s">
        <v>30</v>
      </c>
      <c r="D148" t="s">
        <v>20</v>
      </c>
      <c r="E148">
        <v>4</v>
      </c>
      <c r="F148" t="s">
        <v>40</v>
      </c>
      <c r="G148">
        <v>3.73</v>
      </c>
      <c r="H148">
        <v>4</v>
      </c>
      <c r="I148">
        <f t="shared" si="2"/>
        <v>0.27</v>
      </c>
      <c r="J148">
        <v>14</v>
      </c>
      <c r="K148" t="s">
        <v>27</v>
      </c>
      <c r="L148">
        <v>8</v>
      </c>
      <c r="M148" t="s">
        <v>100</v>
      </c>
      <c r="N148" t="str">
        <f>IF(Table1[[#This Row],[Age]]&lt;20,"Teen",IF(Table1[[#This Row],[Age]]&lt;=22,"Young Adult","Adult"))</f>
        <v>Young Adult</v>
      </c>
    </row>
    <row r="149" spans="1:14" x14ac:dyDescent="0.35">
      <c r="A149" t="s">
        <v>194</v>
      </c>
      <c r="B149">
        <v>23</v>
      </c>
      <c r="C149" t="s">
        <v>24</v>
      </c>
      <c r="D149" t="s">
        <v>25</v>
      </c>
      <c r="E149">
        <v>5</v>
      </c>
      <c r="F149" t="s">
        <v>40</v>
      </c>
      <c r="G149">
        <v>3.58</v>
      </c>
      <c r="H149">
        <v>3.78</v>
      </c>
      <c r="I149">
        <f t="shared" si="2"/>
        <v>0.19999999999999973</v>
      </c>
      <c r="J149">
        <v>13</v>
      </c>
      <c r="K149" t="s">
        <v>27</v>
      </c>
      <c r="L149">
        <v>1</v>
      </c>
      <c r="M149" t="s">
        <v>22</v>
      </c>
      <c r="N149" t="str">
        <f>IF(Table1[[#This Row],[Age]]&lt;20,"Teen",IF(Table1[[#This Row],[Age]]&lt;=22,"Young Adult","Adult"))</f>
        <v>Adult</v>
      </c>
    </row>
    <row r="150" spans="1:14" x14ac:dyDescent="0.35">
      <c r="A150" t="s">
        <v>195</v>
      </c>
      <c r="B150">
        <v>21</v>
      </c>
      <c r="C150" t="s">
        <v>42</v>
      </c>
      <c r="D150" t="s">
        <v>25</v>
      </c>
      <c r="E150">
        <v>10</v>
      </c>
      <c r="F150" t="s">
        <v>26</v>
      </c>
      <c r="G150">
        <v>3.23</v>
      </c>
      <c r="H150">
        <v>3.53</v>
      </c>
      <c r="I150">
        <f t="shared" si="2"/>
        <v>0.29999999999999982</v>
      </c>
      <c r="J150">
        <v>5</v>
      </c>
      <c r="K150" t="s">
        <v>27</v>
      </c>
      <c r="L150">
        <v>7</v>
      </c>
      <c r="M150" t="s">
        <v>87</v>
      </c>
      <c r="N150" t="str">
        <f>IF(Table1[[#This Row],[Age]]&lt;20,"Teen",IF(Table1[[#This Row],[Age]]&lt;=22,"Young Adult","Adult"))</f>
        <v>Young Adult</v>
      </c>
    </row>
    <row r="151" spans="1:14" x14ac:dyDescent="0.35">
      <c r="A151" t="s">
        <v>196</v>
      </c>
      <c r="B151">
        <v>25</v>
      </c>
      <c r="C151" t="s">
        <v>30</v>
      </c>
      <c r="D151" t="s">
        <v>25</v>
      </c>
      <c r="E151">
        <v>7</v>
      </c>
      <c r="F151" t="s">
        <v>21</v>
      </c>
      <c r="G151">
        <v>3.97</v>
      </c>
      <c r="H151">
        <v>4</v>
      </c>
      <c r="I151">
        <f t="shared" si="2"/>
        <v>2.9999999999999805E-2</v>
      </c>
      <c r="J151">
        <v>4</v>
      </c>
      <c r="K151" t="s">
        <v>27</v>
      </c>
      <c r="L151">
        <v>2</v>
      </c>
      <c r="M151" t="s">
        <v>22</v>
      </c>
      <c r="N151" t="str">
        <f>IF(Table1[[#This Row],[Age]]&lt;20,"Teen",IF(Table1[[#This Row],[Age]]&lt;=22,"Young Adult","Adult"))</f>
        <v>Adult</v>
      </c>
    </row>
    <row r="152" spans="1:14" x14ac:dyDescent="0.35">
      <c r="A152" t="s">
        <v>197</v>
      </c>
      <c r="B152">
        <v>24</v>
      </c>
      <c r="C152" t="s">
        <v>30</v>
      </c>
      <c r="D152" t="s">
        <v>20</v>
      </c>
      <c r="E152">
        <v>1</v>
      </c>
      <c r="F152" t="s">
        <v>40</v>
      </c>
      <c r="G152">
        <v>2.66</v>
      </c>
      <c r="H152">
        <v>2.66</v>
      </c>
      <c r="I152">
        <f t="shared" si="2"/>
        <v>0</v>
      </c>
      <c r="J152">
        <v>8</v>
      </c>
      <c r="K152" t="s">
        <v>32</v>
      </c>
      <c r="L152">
        <v>2</v>
      </c>
      <c r="M152" t="s">
        <v>60</v>
      </c>
      <c r="N152" t="str">
        <f>IF(Table1[[#This Row],[Age]]&lt;20,"Teen",IF(Table1[[#This Row],[Age]]&lt;=22,"Young Adult","Adult"))</f>
        <v>Adult</v>
      </c>
    </row>
    <row r="153" spans="1:14" x14ac:dyDescent="0.35">
      <c r="A153" t="s">
        <v>198</v>
      </c>
      <c r="B153">
        <v>18</v>
      </c>
      <c r="C153" t="s">
        <v>42</v>
      </c>
      <c r="D153" t="s">
        <v>31</v>
      </c>
      <c r="E153">
        <v>4</v>
      </c>
      <c r="F153" t="s">
        <v>21</v>
      </c>
      <c r="G153">
        <v>2.52</v>
      </c>
      <c r="H153">
        <v>2.42</v>
      </c>
      <c r="I153">
        <f t="shared" si="2"/>
        <v>-0.10000000000000009</v>
      </c>
      <c r="J153">
        <v>5</v>
      </c>
      <c r="K153" t="s">
        <v>27</v>
      </c>
      <c r="L153">
        <v>3</v>
      </c>
      <c r="M153" t="s">
        <v>64</v>
      </c>
      <c r="N153" t="str">
        <f>IF(Table1[[#This Row],[Age]]&lt;20,"Teen",IF(Table1[[#This Row],[Age]]&lt;=22,"Young Adult","Adult"))</f>
        <v>Teen</v>
      </c>
    </row>
    <row r="154" spans="1:14" x14ac:dyDescent="0.35">
      <c r="A154" t="s">
        <v>199</v>
      </c>
      <c r="B154">
        <v>23</v>
      </c>
      <c r="C154" t="s">
        <v>19</v>
      </c>
      <c r="D154" t="s">
        <v>34</v>
      </c>
      <c r="E154">
        <v>10</v>
      </c>
      <c r="F154" t="s">
        <v>40</v>
      </c>
      <c r="G154">
        <v>3.78</v>
      </c>
      <c r="H154">
        <v>3.68</v>
      </c>
      <c r="I154">
        <f t="shared" si="2"/>
        <v>-9.9999999999999645E-2</v>
      </c>
      <c r="J154">
        <v>7</v>
      </c>
      <c r="K154" t="s">
        <v>27</v>
      </c>
      <c r="L154">
        <v>3</v>
      </c>
      <c r="M154" t="s">
        <v>52</v>
      </c>
      <c r="N154" t="str">
        <f>IF(Table1[[#This Row],[Age]]&lt;20,"Teen",IF(Table1[[#This Row],[Age]]&lt;=22,"Young Adult","Adult"))</f>
        <v>Adult</v>
      </c>
    </row>
    <row r="155" spans="1:14" x14ac:dyDescent="0.35">
      <c r="A155" t="s">
        <v>200</v>
      </c>
      <c r="B155">
        <v>23</v>
      </c>
      <c r="C155" t="s">
        <v>30</v>
      </c>
      <c r="D155" t="s">
        <v>31</v>
      </c>
      <c r="E155">
        <v>9</v>
      </c>
      <c r="F155" t="s">
        <v>56</v>
      </c>
      <c r="G155">
        <v>2.82</v>
      </c>
      <c r="H155">
        <v>2.72</v>
      </c>
      <c r="I155">
        <f t="shared" si="2"/>
        <v>-9.9999999999999645E-2</v>
      </c>
      <c r="J155">
        <v>3</v>
      </c>
      <c r="K155" t="s">
        <v>16</v>
      </c>
      <c r="L155">
        <v>3</v>
      </c>
      <c r="M155" t="s">
        <v>22</v>
      </c>
      <c r="N155" t="str">
        <f>IF(Table1[[#This Row],[Age]]&lt;20,"Teen",IF(Table1[[#This Row],[Age]]&lt;=22,"Young Adult","Adult"))</f>
        <v>Adult</v>
      </c>
    </row>
    <row r="156" spans="1:14" x14ac:dyDescent="0.35">
      <c r="A156" t="s">
        <v>201</v>
      </c>
      <c r="B156">
        <v>21</v>
      </c>
      <c r="C156" t="s">
        <v>19</v>
      </c>
      <c r="D156" t="s">
        <v>14</v>
      </c>
      <c r="E156">
        <v>5</v>
      </c>
      <c r="F156" t="s">
        <v>56</v>
      </c>
      <c r="G156">
        <v>3.86</v>
      </c>
      <c r="H156">
        <v>4</v>
      </c>
      <c r="I156">
        <f t="shared" si="2"/>
        <v>0.14000000000000012</v>
      </c>
      <c r="J156">
        <v>7</v>
      </c>
      <c r="K156" t="s">
        <v>32</v>
      </c>
      <c r="L156">
        <v>2</v>
      </c>
      <c r="M156" t="s">
        <v>50</v>
      </c>
      <c r="N156" t="str">
        <f>IF(Table1[[#This Row],[Age]]&lt;20,"Teen",IF(Table1[[#This Row],[Age]]&lt;=22,"Young Adult","Adult"))</f>
        <v>Young Adult</v>
      </c>
    </row>
    <row r="157" spans="1:14" x14ac:dyDescent="0.35">
      <c r="A157" t="s">
        <v>202</v>
      </c>
      <c r="B157">
        <v>18</v>
      </c>
      <c r="C157" t="s">
        <v>39</v>
      </c>
      <c r="D157" t="s">
        <v>34</v>
      </c>
      <c r="E157">
        <v>5</v>
      </c>
      <c r="F157" t="s">
        <v>26</v>
      </c>
      <c r="G157">
        <v>3.86</v>
      </c>
      <c r="H157">
        <v>3.76</v>
      </c>
      <c r="I157">
        <f t="shared" si="2"/>
        <v>-0.10000000000000009</v>
      </c>
      <c r="J157">
        <v>4</v>
      </c>
      <c r="K157" t="s">
        <v>27</v>
      </c>
      <c r="L157">
        <v>10</v>
      </c>
      <c r="M157" t="s">
        <v>74</v>
      </c>
      <c r="N157" t="str">
        <f>IF(Table1[[#This Row],[Age]]&lt;20,"Teen",IF(Table1[[#This Row],[Age]]&lt;=22,"Young Adult","Adult"))</f>
        <v>Teen</v>
      </c>
    </row>
    <row r="158" spans="1:14" x14ac:dyDescent="0.35">
      <c r="A158" t="s">
        <v>203</v>
      </c>
      <c r="B158">
        <v>19</v>
      </c>
      <c r="C158" t="s">
        <v>24</v>
      </c>
      <c r="D158" t="s">
        <v>20</v>
      </c>
      <c r="E158">
        <v>8</v>
      </c>
      <c r="F158" t="s">
        <v>40</v>
      </c>
      <c r="G158">
        <v>2.82</v>
      </c>
      <c r="H158">
        <v>2.72</v>
      </c>
      <c r="I158">
        <f t="shared" si="2"/>
        <v>-9.9999999999999645E-2</v>
      </c>
      <c r="J158">
        <v>10</v>
      </c>
      <c r="K158" t="s">
        <v>32</v>
      </c>
      <c r="L158">
        <v>8</v>
      </c>
      <c r="M158" t="s">
        <v>100</v>
      </c>
      <c r="N158" t="str">
        <f>IF(Table1[[#This Row],[Age]]&lt;20,"Teen",IF(Table1[[#This Row],[Age]]&lt;=22,"Young Adult","Adult"))</f>
        <v>Teen</v>
      </c>
    </row>
    <row r="159" spans="1:14" x14ac:dyDescent="0.35">
      <c r="A159" t="s">
        <v>204</v>
      </c>
      <c r="B159">
        <v>18</v>
      </c>
      <c r="C159" t="s">
        <v>13</v>
      </c>
      <c r="D159" t="s">
        <v>20</v>
      </c>
      <c r="E159">
        <v>5</v>
      </c>
      <c r="F159" t="s">
        <v>40</v>
      </c>
      <c r="G159">
        <v>2.6</v>
      </c>
      <c r="H159">
        <v>2.7</v>
      </c>
      <c r="I159">
        <f t="shared" si="2"/>
        <v>0.10000000000000009</v>
      </c>
      <c r="J159">
        <v>9</v>
      </c>
      <c r="K159" t="s">
        <v>27</v>
      </c>
      <c r="L159">
        <v>6</v>
      </c>
      <c r="M159" t="s">
        <v>60</v>
      </c>
      <c r="N159" t="str">
        <f>IF(Table1[[#This Row],[Age]]&lt;20,"Teen",IF(Table1[[#This Row],[Age]]&lt;=22,"Young Adult","Adult"))</f>
        <v>Teen</v>
      </c>
    </row>
    <row r="160" spans="1:14" x14ac:dyDescent="0.35">
      <c r="A160" t="s">
        <v>205</v>
      </c>
      <c r="B160">
        <v>21</v>
      </c>
      <c r="C160" t="s">
        <v>19</v>
      </c>
      <c r="D160" t="s">
        <v>31</v>
      </c>
      <c r="E160">
        <v>3</v>
      </c>
      <c r="F160" t="s">
        <v>26</v>
      </c>
      <c r="G160">
        <v>3.15</v>
      </c>
      <c r="H160">
        <v>3.35</v>
      </c>
      <c r="I160">
        <f t="shared" si="2"/>
        <v>0.20000000000000018</v>
      </c>
      <c r="J160">
        <v>11</v>
      </c>
      <c r="K160" t="s">
        <v>32</v>
      </c>
      <c r="L160">
        <v>6</v>
      </c>
      <c r="M160" t="s">
        <v>66</v>
      </c>
      <c r="N160" t="str">
        <f>IF(Table1[[#This Row],[Age]]&lt;20,"Teen",IF(Table1[[#This Row],[Age]]&lt;=22,"Young Adult","Adult"))</f>
        <v>Young Adult</v>
      </c>
    </row>
    <row r="161" spans="1:14" x14ac:dyDescent="0.35">
      <c r="A161" t="s">
        <v>206</v>
      </c>
      <c r="B161">
        <v>18</v>
      </c>
      <c r="C161" t="s">
        <v>13</v>
      </c>
      <c r="D161" t="s">
        <v>14</v>
      </c>
      <c r="E161">
        <v>7</v>
      </c>
      <c r="F161" t="s">
        <v>26</v>
      </c>
      <c r="G161">
        <v>3.23</v>
      </c>
      <c r="H161">
        <v>3.33</v>
      </c>
      <c r="I161">
        <f t="shared" si="2"/>
        <v>0.10000000000000009</v>
      </c>
      <c r="J161">
        <v>3</v>
      </c>
      <c r="K161" t="s">
        <v>16</v>
      </c>
      <c r="L161">
        <v>2</v>
      </c>
      <c r="M161" t="s">
        <v>50</v>
      </c>
      <c r="N161" t="str">
        <f>IF(Table1[[#This Row],[Age]]&lt;20,"Teen",IF(Table1[[#This Row],[Age]]&lt;=22,"Young Adult","Adult"))</f>
        <v>Teen</v>
      </c>
    </row>
    <row r="162" spans="1:14" x14ac:dyDescent="0.35">
      <c r="A162" t="s">
        <v>207</v>
      </c>
      <c r="B162">
        <v>24</v>
      </c>
      <c r="C162" t="s">
        <v>42</v>
      </c>
      <c r="D162" t="s">
        <v>34</v>
      </c>
      <c r="E162">
        <v>8</v>
      </c>
      <c r="F162" t="s">
        <v>26</v>
      </c>
      <c r="G162">
        <v>3.32</v>
      </c>
      <c r="H162">
        <v>3.52</v>
      </c>
      <c r="I162">
        <f t="shared" si="2"/>
        <v>0.20000000000000018</v>
      </c>
      <c r="J162">
        <v>14</v>
      </c>
      <c r="K162" t="s">
        <v>32</v>
      </c>
      <c r="L162">
        <v>2</v>
      </c>
      <c r="M162" t="s">
        <v>60</v>
      </c>
      <c r="N162" t="str">
        <f>IF(Table1[[#This Row],[Age]]&lt;20,"Teen",IF(Table1[[#This Row],[Age]]&lt;=22,"Young Adult","Adult"))</f>
        <v>Adult</v>
      </c>
    </row>
    <row r="163" spans="1:14" x14ac:dyDescent="0.35">
      <c r="A163" t="s">
        <v>208</v>
      </c>
      <c r="B163">
        <v>21</v>
      </c>
      <c r="C163" t="s">
        <v>39</v>
      </c>
      <c r="D163" t="s">
        <v>34</v>
      </c>
      <c r="E163">
        <v>2</v>
      </c>
      <c r="F163" t="s">
        <v>56</v>
      </c>
      <c r="G163">
        <v>3.33</v>
      </c>
      <c r="H163">
        <v>3.53</v>
      </c>
      <c r="I163">
        <f t="shared" si="2"/>
        <v>0.19999999999999973</v>
      </c>
      <c r="J163">
        <v>15</v>
      </c>
      <c r="K163" t="s">
        <v>27</v>
      </c>
      <c r="L163">
        <v>9</v>
      </c>
      <c r="M163" t="s">
        <v>22</v>
      </c>
      <c r="N163" t="str">
        <f>IF(Table1[[#This Row],[Age]]&lt;20,"Teen",IF(Table1[[#This Row],[Age]]&lt;=22,"Young Adult","Adult"))</f>
        <v>Young Adult</v>
      </c>
    </row>
    <row r="164" spans="1:14" x14ac:dyDescent="0.35">
      <c r="A164" t="s">
        <v>209</v>
      </c>
      <c r="B164">
        <v>20</v>
      </c>
      <c r="C164" t="s">
        <v>24</v>
      </c>
      <c r="D164" t="s">
        <v>31</v>
      </c>
      <c r="E164">
        <v>3</v>
      </c>
      <c r="F164" t="s">
        <v>56</v>
      </c>
      <c r="G164">
        <v>2.64</v>
      </c>
      <c r="H164">
        <v>2.54</v>
      </c>
      <c r="I164">
        <f t="shared" si="2"/>
        <v>-0.10000000000000009</v>
      </c>
      <c r="J164">
        <v>10</v>
      </c>
      <c r="K164" t="s">
        <v>32</v>
      </c>
      <c r="L164">
        <v>7</v>
      </c>
      <c r="M164" t="s">
        <v>35</v>
      </c>
      <c r="N164" t="str">
        <f>IF(Table1[[#This Row],[Age]]&lt;20,"Teen",IF(Table1[[#This Row],[Age]]&lt;=22,"Young Adult","Adult"))</f>
        <v>Young Adult</v>
      </c>
    </row>
    <row r="165" spans="1:14" x14ac:dyDescent="0.35">
      <c r="A165" t="s">
        <v>210</v>
      </c>
      <c r="B165">
        <v>21</v>
      </c>
      <c r="C165" t="s">
        <v>13</v>
      </c>
      <c r="D165" t="s">
        <v>20</v>
      </c>
      <c r="E165">
        <v>10</v>
      </c>
      <c r="F165" t="s">
        <v>26</v>
      </c>
      <c r="G165">
        <v>2.69</v>
      </c>
      <c r="H165">
        <v>2.89</v>
      </c>
      <c r="I165">
        <f t="shared" si="2"/>
        <v>0.20000000000000018</v>
      </c>
      <c r="J165">
        <v>14</v>
      </c>
      <c r="K165" t="s">
        <v>16</v>
      </c>
      <c r="L165">
        <v>7</v>
      </c>
      <c r="M165" t="s">
        <v>48</v>
      </c>
      <c r="N165" t="str">
        <f>IF(Table1[[#This Row],[Age]]&lt;20,"Teen",IF(Table1[[#This Row],[Age]]&lt;=22,"Young Adult","Adult"))</f>
        <v>Young Adult</v>
      </c>
    </row>
    <row r="166" spans="1:14" x14ac:dyDescent="0.35">
      <c r="A166" t="s">
        <v>211</v>
      </c>
      <c r="B166">
        <v>25</v>
      </c>
      <c r="C166" t="s">
        <v>30</v>
      </c>
      <c r="D166" t="s">
        <v>14</v>
      </c>
      <c r="E166">
        <v>1</v>
      </c>
      <c r="F166" t="s">
        <v>26</v>
      </c>
      <c r="G166">
        <v>2.86</v>
      </c>
      <c r="H166">
        <v>2.96</v>
      </c>
      <c r="I166">
        <f t="shared" si="2"/>
        <v>0.10000000000000009</v>
      </c>
      <c r="J166">
        <v>3</v>
      </c>
      <c r="K166" t="s">
        <v>32</v>
      </c>
      <c r="L166">
        <v>6</v>
      </c>
      <c r="M166" t="s">
        <v>17</v>
      </c>
      <c r="N166" t="str">
        <f>IF(Table1[[#This Row],[Age]]&lt;20,"Teen",IF(Table1[[#This Row],[Age]]&lt;=22,"Young Adult","Adult"))</f>
        <v>Adult</v>
      </c>
    </row>
    <row r="167" spans="1:14" x14ac:dyDescent="0.35">
      <c r="A167" t="s">
        <v>212</v>
      </c>
      <c r="B167">
        <v>25</v>
      </c>
      <c r="C167" t="s">
        <v>39</v>
      </c>
      <c r="D167" t="s">
        <v>34</v>
      </c>
      <c r="E167">
        <v>6</v>
      </c>
      <c r="F167" t="s">
        <v>21</v>
      </c>
      <c r="G167">
        <v>3.94</v>
      </c>
      <c r="H167">
        <v>4</v>
      </c>
      <c r="I167">
        <f t="shared" si="2"/>
        <v>6.0000000000000053E-2</v>
      </c>
      <c r="J167">
        <v>5</v>
      </c>
      <c r="K167" t="s">
        <v>27</v>
      </c>
      <c r="L167">
        <v>7</v>
      </c>
      <c r="M167" t="s">
        <v>37</v>
      </c>
      <c r="N167" t="str">
        <f>IF(Table1[[#This Row],[Age]]&lt;20,"Teen",IF(Table1[[#This Row],[Age]]&lt;=22,"Young Adult","Adult"))</f>
        <v>Adult</v>
      </c>
    </row>
    <row r="168" spans="1:14" x14ac:dyDescent="0.35">
      <c r="A168" t="s">
        <v>213</v>
      </c>
      <c r="B168">
        <v>25</v>
      </c>
      <c r="C168" t="s">
        <v>19</v>
      </c>
      <c r="D168" t="s">
        <v>25</v>
      </c>
      <c r="E168">
        <v>5</v>
      </c>
      <c r="F168" t="s">
        <v>56</v>
      </c>
      <c r="G168">
        <v>3.35</v>
      </c>
      <c r="H168">
        <v>3.35</v>
      </c>
      <c r="I168">
        <f t="shared" si="2"/>
        <v>0</v>
      </c>
      <c r="J168">
        <v>3</v>
      </c>
      <c r="K168" t="s">
        <v>32</v>
      </c>
      <c r="L168">
        <v>8</v>
      </c>
      <c r="M168" t="s">
        <v>100</v>
      </c>
      <c r="N168" t="str">
        <f>IF(Table1[[#This Row],[Age]]&lt;20,"Teen",IF(Table1[[#This Row],[Age]]&lt;=22,"Young Adult","Adult"))</f>
        <v>Adult</v>
      </c>
    </row>
    <row r="169" spans="1:14" x14ac:dyDescent="0.35">
      <c r="A169" t="s">
        <v>214</v>
      </c>
      <c r="B169">
        <v>19</v>
      </c>
      <c r="C169" t="s">
        <v>30</v>
      </c>
      <c r="D169" t="s">
        <v>34</v>
      </c>
      <c r="E169">
        <v>9</v>
      </c>
      <c r="F169" t="s">
        <v>40</v>
      </c>
      <c r="G169">
        <v>3.76</v>
      </c>
      <c r="H169">
        <v>3.86</v>
      </c>
      <c r="I169">
        <f t="shared" si="2"/>
        <v>0.10000000000000009</v>
      </c>
      <c r="J169">
        <v>3</v>
      </c>
      <c r="K169" t="s">
        <v>32</v>
      </c>
      <c r="L169">
        <v>7</v>
      </c>
      <c r="M169" t="s">
        <v>43</v>
      </c>
      <c r="N169" t="str">
        <f>IF(Table1[[#This Row],[Age]]&lt;20,"Teen",IF(Table1[[#This Row],[Age]]&lt;=22,"Young Adult","Adult"))</f>
        <v>Teen</v>
      </c>
    </row>
    <row r="170" spans="1:14" x14ac:dyDescent="0.35">
      <c r="A170" t="s">
        <v>215</v>
      </c>
      <c r="B170">
        <v>19</v>
      </c>
      <c r="C170" t="s">
        <v>24</v>
      </c>
      <c r="D170" t="s">
        <v>20</v>
      </c>
      <c r="E170">
        <v>2</v>
      </c>
      <c r="F170" t="s">
        <v>21</v>
      </c>
      <c r="G170">
        <v>3.1</v>
      </c>
      <c r="H170">
        <v>3.1</v>
      </c>
      <c r="I170">
        <f t="shared" si="2"/>
        <v>0</v>
      </c>
      <c r="J170">
        <v>15</v>
      </c>
      <c r="K170" t="s">
        <v>27</v>
      </c>
      <c r="L170">
        <v>9</v>
      </c>
      <c r="M170" t="s">
        <v>64</v>
      </c>
      <c r="N170" t="str">
        <f>IF(Table1[[#This Row],[Age]]&lt;20,"Teen",IF(Table1[[#This Row],[Age]]&lt;=22,"Young Adult","Adult"))</f>
        <v>Teen</v>
      </c>
    </row>
    <row r="171" spans="1:14" x14ac:dyDescent="0.35">
      <c r="A171" t="s">
        <v>216</v>
      </c>
      <c r="B171">
        <v>22</v>
      </c>
      <c r="C171" t="s">
        <v>42</v>
      </c>
      <c r="D171" t="s">
        <v>34</v>
      </c>
      <c r="E171">
        <v>2</v>
      </c>
      <c r="F171" t="s">
        <v>56</v>
      </c>
      <c r="G171">
        <v>3.41</v>
      </c>
      <c r="H171">
        <v>3.61</v>
      </c>
      <c r="I171">
        <f t="shared" si="2"/>
        <v>0.19999999999999973</v>
      </c>
      <c r="J171">
        <v>12</v>
      </c>
      <c r="K171" t="s">
        <v>32</v>
      </c>
      <c r="L171">
        <v>2</v>
      </c>
      <c r="M171" t="s">
        <v>28</v>
      </c>
      <c r="N171" t="str">
        <f>IF(Table1[[#This Row],[Age]]&lt;20,"Teen",IF(Table1[[#This Row],[Age]]&lt;=22,"Young Adult","Adult"))</f>
        <v>Young Adult</v>
      </c>
    </row>
    <row r="172" spans="1:14" x14ac:dyDescent="0.35">
      <c r="A172" t="s">
        <v>217</v>
      </c>
      <c r="B172">
        <v>22</v>
      </c>
      <c r="C172" t="s">
        <v>19</v>
      </c>
      <c r="D172" t="s">
        <v>34</v>
      </c>
      <c r="E172">
        <v>9</v>
      </c>
      <c r="F172" t="s">
        <v>40</v>
      </c>
      <c r="G172">
        <v>3.25</v>
      </c>
      <c r="H172">
        <v>3.55</v>
      </c>
      <c r="I172">
        <f t="shared" si="2"/>
        <v>0.29999999999999982</v>
      </c>
      <c r="J172">
        <v>13</v>
      </c>
      <c r="K172" t="s">
        <v>32</v>
      </c>
      <c r="L172">
        <v>6</v>
      </c>
      <c r="M172" t="s">
        <v>50</v>
      </c>
      <c r="N172" t="str">
        <f>IF(Table1[[#This Row],[Age]]&lt;20,"Teen",IF(Table1[[#This Row],[Age]]&lt;=22,"Young Adult","Adult"))</f>
        <v>Young Adult</v>
      </c>
    </row>
    <row r="173" spans="1:14" x14ac:dyDescent="0.35">
      <c r="A173" t="s">
        <v>218</v>
      </c>
      <c r="B173">
        <v>19</v>
      </c>
      <c r="C173" t="s">
        <v>42</v>
      </c>
      <c r="D173" t="s">
        <v>20</v>
      </c>
      <c r="E173">
        <v>1</v>
      </c>
      <c r="F173" t="s">
        <v>56</v>
      </c>
      <c r="G173">
        <v>2.86</v>
      </c>
      <c r="H173">
        <v>2.76</v>
      </c>
      <c r="I173">
        <f t="shared" si="2"/>
        <v>-0.10000000000000009</v>
      </c>
      <c r="J173">
        <v>14</v>
      </c>
      <c r="K173" t="s">
        <v>16</v>
      </c>
      <c r="L173">
        <v>10</v>
      </c>
      <c r="M173" t="s">
        <v>17</v>
      </c>
      <c r="N173" t="str">
        <f>IF(Table1[[#This Row],[Age]]&lt;20,"Teen",IF(Table1[[#This Row],[Age]]&lt;=22,"Young Adult","Adult"))</f>
        <v>Teen</v>
      </c>
    </row>
    <row r="174" spans="1:14" x14ac:dyDescent="0.35">
      <c r="A174" t="s">
        <v>219</v>
      </c>
      <c r="B174">
        <v>18</v>
      </c>
      <c r="C174" t="s">
        <v>13</v>
      </c>
      <c r="D174" t="s">
        <v>20</v>
      </c>
      <c r="E174">
        <v>5</v>
      </c>
      <c r="F174" t="s">
        <v>15</v>
      </c>
      <c r="G174">
        <v>2.54</v>
      </c>
      <c r="H174">
        <v>2.44</v>
      </c>
      <c r="I174">
        <f t="shared" si="2"/>
        <v>-0.10000000000000009</v>
      </c>
      <c r="J174">
        <v>9</v>
      </c>
      <c r="K174" t="s">
        <v>16</v>
      </c>
      <c r="L174">
        <v>4</v>
      </c>
      <c r="M174" t="s">
        <v>48</v>
      </c>
      <c r="N174" t="str">
        <f>IF(Table1[[#This Row],[Age]]&lt;20,"Teen",IF(Table1[[#This Row],[Age]]&lt;=22,"Young Adult","Adult"))</f>
        <v>Teen</v>
      </c>
    </row>
    <row r="175" spans="1:14" x14ac:dyDescent="0.35">
      <c r="A175" t="s">
        <v>220</v>
      </c>
      <c r="B175">
        <v>20</v>
      </c>
      <c r="C175" t="s">
        <v>30</v>
      </c>
      <c r="D175" t="s">
        <v>34</v>
      </c>
      <c r="E175">
        <v>10</v>
      </c>
      <c r="F175" t="s">
        <v>26</v>
      </c>
      <c r="G175">
        <v>3.79</v>
      </c>
      <c r="H175">
        <v>4</v>
      </c>
      <c r="I175">
        <f t="shared" si="2"/>
        <v>0.20999999999999996</v>
      </c>
      <c r="J175">
        <v>6</v>
      </c>
      <c r="K175" t="s">
        <v>27</v>
      </c>
      <c r="L175">
        <v>9</v>
      </c>
      <c r="M175" t="s">
        <v>52</v>
      </c>
      <c r="N175" t="str">
        <f>IF(Table1[[#This Row],[Age]]&lt;20,"Teen",IF(Table1[[#This Row],[Age]]&lt;=22,"Young Adult","Adult"))</f>
        <v>Young Adult</v>
      </c>
    </row>
    <row r="176" spans="1:14" x14ac:dyDescent="0.35">
      <c r="A176" t="s">
        <v>221</v>
      </c>
      <c r="B176">
        <v>21</v>
      </c>
      <c r="C176" t="s">
        <v>19</v>
      </c>
      <c r="D176" t="s">
        <v>25</v>
      </c>
      <c r="E176">
        <v>8</v>
      </c>
      <c r="F176" t="s">
        <v>56</v>
      </c>
      <c r="G176">
        <v>3.48</v>
      </c>
      <c r="H176">
        <v>3.68</v>
      </c>
      <c r="I176">
        <f t="shared" si="2"/>
        <v>0.20000000000000018</v>
      </c>
      <c r="J176">
        <v>12</v>
      </c>
      <c r="K176" t="s">
        <v>32</v>
      </c>
      <c r="L176">
        <v>7</v>
      </c>
      <c r="M176" t="s">
        <v>17</v>
      </c>
      <c r="N176" t="str">
        <f>IF(Table1[[#This Row],[Age]]&lt;20,"Teen",IF(Table1[[#This Row],[Age]]&lt;=22,"Young Adult","Adult"))</f>
        <v>Young Adult</v>
      </c>
    </row>
    <row r="177" spans="1:14" x14ac:dyDescent="0.35">
      <c r="A177" t="s">
        <v>222</v>
      </c>
      <c r="B177">
        <v>22</v>
      </c>
      <c r="C177" t="s">
        <v>24</v>
      </c>
      <c r="D177" t="s">
        <v>14</v>
      </c>
      <c r="E177">
        <v>5</v>
      </c>
      <c r="F177" t="s">
        <v>40</v>
      </c>
      <c r="G177">
        <v>3.4</v>
      </c>
      <c r="H177">
        <v>3.6</v>
      </c>
      <c r="I177">
        <f t="shared" si="2"/>
        <v>0.20000000000000018</v>
      </c>
      <c r="J177">
        <v>15</v>
      </c>
      <c r="K177" t="s">
        <v>16</v>
      </c>
      <c r="L177">
        <v>2</v>
      </c>
      <c r="M177" t="s">
        <v>17</v>
      </c>
      <c r="N177" t="str">
        <f>IF(Table1[[#This Row],[Age]]&lt;20,"Teen",IF(Table1[[#This Row],[Age]]&lt;=22,"Young Adult","Adult"))</f>
        <v>Young Adult</v>
      </c>
    </row>
    <row r="178" spans="1:14" x14ac:dyDescent="0.35">
      <c r="A178" t="s">
        <v>223</v>
      </c>
      <c r="B178">
        <v>23</v>
      </c>
      <c r="C178" t="s">
        <v>13</v>
      </c>
      <c r="D178" t="s">
        <v>31</v>
      </c>
      <c r="E178">
        <v>3</v>
      </c>
      <c r="F178" t="s">
        <v>15</v>
      </c>
      <c r="G178">
        <v>3.25</v>
      </c>
      <c r="H178">
        <v>3.45</v>
      </c>
      <c r="I178">
        <f t="shared" si="2"/>
        <v>0.20000000000000018</v>
      </c>
      <c r="J178">
        <v>14</v>
      </c>
      <c r="K178" t="s">
        <v>32</v>
      </c>
      <c r="L178">
        <v>2</v>
      </c>
      <c r="M178" t="s">
        <v>66</v>
      </c>
      <c r="N178" t="str">
        <f>IF(Table1[[#This Row],[Age]]&lt;20,"Teen",IF(Table1[[#This Row],[Age]]&lt;=22,"Young Adult","Adult"))</f>
        <v>Adult</v>
      </c>
    </row>
    <row r="179" spans="1:14" x14ac:dyDescent="0.35">
      <c r="A179" t="s">
        <v>224</v>
      </c>
      <c r="B179">
        <v>20</v>
      </c>
      <c r="C179" t="s">
        <v>19</v>
      </c>
      <c r="D179" t="s">
        <v>34</v>
      </c>
      <c r="E179">
        <v>9</v>
      </c>
      <c r="F179" t="s">
        <v>26</v>
      </c>
      <c r="G179">
        <v>2.88</v>
      </c>
      <c r="H179">
        <v>2.98</v>
      </c>
      <c r="I179">
        <f t="shared" si="2"/>
        <v>0.10000000000000009</v>
      </c>
      <c r="J179">
        <v>2</v>
      </c>
      <c r="K179" t="s">
        <v>32</v>
      </c>
      <c r="L179">
        <v>4</v>
      </c>
      <c r="M179" t="s">
        <v>48</v>
      </c>
      <c r="N179" t="str">
        <f>IF(Table1[[#This Row],[Age]]&lt;20,"Teen",IF(Table1[[#This Row],[Age]]&lt;=22,"Young Adult","Adult"))</f>
        <v>Young Adult</v>
      </c>
    </row>
    <row r="180" spans="1:14" x14ac:dyDescent="0.35">
      <c r="A180" t="s">
        <v>225</v>
      </c>
      <c r="B180">
        <v>19</v>
      </c>
      <c r="C180" t="s">
        <v>42</v>
      </c>
      <c r="D180" t="s">
        <v>34</v>
      </c>
      <c r="E180">
        <v>8</v>
      </c>
      <c r="F180" t="s">
        <v>56</v>
      </c>
      <c r="G180">
        <v>3.04</v>
      </c>
      <c r="H180">
        <v>2.94</v>
      </c>
      <c r="I180">
        <f t="shared" si="2"/>
        <v>-0.10000000000000009</v>
      </c>
      <c r="J180">
        <v>15</v>
      </c>
      <c r="K180" t="s">
        <v>27</v>
      </c>
      <c r="L180">
        <v>9</v>
      </c>
      <c r="M180" t="s">
        <v>60</v>
      </c>
      <c r="N180" t="str">
        <f>IF(Table1[[#This Row],[Age]]&lt;20,"Teen",IF(Table1[[#This Row],[Age]]&lt;=22,"Young Adult","Adult"))</f>
        <v>Teen</v>
      </c>
    </row>
    <row r="181" spans="1:14" x14ac:dyDescent="0.35">
      <c r="A181" t="s">
        <v>226</v>
      </c>
      <c r="B181">
        <v>23</v>
      </c>
      <c r="C181" t="s">
        <v>39</v>
      </c>
      <c r="D181" t="s">
        <v>31</v>
      </c>
      <c r="E181">
        <v>2</v>
      </c>
      <c r="F181" t="s">
        <v>40</v>
      </c>
      <c r="G181">
        <v>2.91</v>
      </c>
      <c r="H181">
        <v>2.81</v>
      </c>
      <c r="I181">
        <f t="shared" si="2"/>
        <v>-0.10000000000000009</v>
      </c>
      <c r="J181">
        <v>13</v>
      </c>
      <c r="K181" t="s">
        <v>32</v>
      </c>
      <c r="L181">
        <v>7</v>
      </c>
      <c r="M181" t="s">
        <v>100</v>
      </c>
      <c r="N181" t="str">
        <f>IF(Table1[[#This Row],[Age]]&lt;20,"Teen",IF(Table1[[#This Row],[Age]]&lt;=22,"Young Adult","Adult"))</f>
        <v>Adult</v>
      </c>
    </row>
    <row r="182" spans="1:14" x14ac:dyDescent="0.35">
      <c r="A182" t="s">
        <v>227</v>
      </c>
      <c r="B182">
        <v>18</v>
      </c>
      <c r="C182" t="s">
        <v>13</v>
      </c>
      <c r="D182" t="s">
        <v>14</v>
      </c>
      <c r="E182">
        <v>9</v>
      </c>
      <c r="F182" t="s">
        <v>15</v>
      </c>
      <c r="G182">
        <v>3.03</v>
      </c>
      <c r="H182">
        <v>3.23</v>
      </c>
      <c r="I182">
        <f t="shared" si="2"/>
        <v>0.20000000000000018</v>
      </c>
      <c r="J182">
        <v>8</v>
      </c>
      <c r="K182" t="s">
        <v>27</v>
      </c>
      <c r="L182">
        <v>5</v>
      </c>
      <c r="M182" t="s">
        <v>45</v>
      </c>
      <c r="N182" t="str">
        <f>IF(Table1[[#This Row],[Age]]&lt;20,"Teen",IF(Table1[[#This Row],[Age]]&lt;=22,"Young Adult","Adult"))</f>
        <v>Teen</v>
      </c>
    </row>
    <row r="183" spans="1:14" x14ac:dyDescent="0.35">
      <c r="A183" t="s">
        <v>228</v>
      </c>
      <c r="B183">
        <v>20</v>
      </c>
      <c r="C183" t="s">
        <v>19</v>
      </c>
      <c r="D183" t="s">
        <v>14</v>
      </c>
      <c r="E183">
        <v>2</v>
      </c>
      <c r="F183" t="s">
        <v>56</v>
      </c>
      <c r="G183">
        <v>3.24</v>
      </c>
      <c r="H183">
        <v>3.34</v>
      </c>
      <c r="I183">
        <f t="shared" si="2"/>
        <v>9.9999999999999645E-2</v>
      </c>
      <c r="J183">
        <v>10</v>
      </c>
      <c r="K183" t="s">
        <v>32</v>
      </c>
      <c r="L183">
        <v>6</v>
      </c>
      <c r="M183" t="s">
        <v>52</v>
      </c>
      <c r="N183" t="str">
        <f>IF(Table1[[#This Row],[Age]]&lt;20,"Teen",IF(Table1[[#This Row],[Age]]&lt;=22,"Young Adult","Adult"))</f>
        <v>Young Adult</v>
      </c>
    </row>
    <row r="184" spans="1:14" x14ac:dyDescent="0.35">
      <c r="A184" t="s">
        <v>229</v>
      </c>
      <c r="B184">
        <v>20</v>
      </c>
      <c r="C184" t="s">
        <v>39</v>
      </c>
      <c r="D184" t="s">
        <v>20</v>
      </c>
      <c r="E184">
        <v>10</v>
      </c>
      <c r="F184" t="s">
        <v>15</v>
      </c>
      <c r="G184">
        <v>2.64</v>
      </c>
      <c r="H184">
        <v>2.74</v>
      </c>
      <c r="I184">
        <f t="shared" si="2"/>
        <v>0.10000000000000009</v>
      </c>
      <c r="J184">
        <v>14</v>
      </c>
      <c r="K184" t="s">
        <v>32</v>
      </c>
      <c r="L184">
        <v>7</v>
      </c>
      <c r="M184" t="s">
        <v>22</v>
      </c>
      <c r="N184" t="str">
        <f>IF(Table1[[#This Row],[Age]]&lt;20,"Teen",IF(Table1[[#This Row],[Age]]&lt;=22,"Young Adult","Adult"))</f>
        <v>Young Adult</v>
      </c>
    </row>
    <row r="185" spans="1:14" x14ac:dyDescent="0.35">
      <c r="A185" t="s">
        <v>230</v>
      </c>
      <c r="B185">
        <v>21</v>
      </c>
      <c r="C185" t="s">
        <v>30</v>
      </c>
      <c r="D185" t="s">
        <v>34</v>
      </c>
      <c r="E185">
        <v>1</v>
      </c>
      <c r="F185" t="s">
        <v>26</v>
      </c>
      <c r="G185">
        <v>2.77</v>
      </c>
      <c r="H185">
        <v>2.67</v>
      </c>
      <c r="I185">
        <f t="shared" si="2"/>
        <v>-0.10000000000000009</v>
      </c>
      <c r="J185">
        <v>9</v>
      </c>
      <c r="K185" t="s">
        <v>32</v>
      </c>
      <c r="L185">
        <v>2</v>
      </c>
      <c r="M185" t="s">
        <v>64</v>
      </c>
      <c r="N185" t="str">
        <f>IF(Table1[[#This Row],[Age]]&lt;20,"Teen",IF(Table1[[#This Row],[Age]]&lt;=22,"Young Adult","Adult"))</f>
        <v>Young Adult</v>
      </c>
    </row>
    <row r="186" spans="1:14" x14ac:dyDescent="0.35">
      <c r="A186" t="s">
        <v>231</v>
      </c>
      <c r="B186">
        <v>21</v>
      </c>
      <c r="C186" t="s">
        <v>24</v>
      </c>
      <c r="D186" t="s">
        <v>31</v>
      </c>
      <c r="E186">
        <v>9</v>
      </c>
      <c r="F186" t="s">
        <v>40</v>
      </c>
      <c r="G186">
        <v>3.09</v>
      </c>
      <c r="H186">
        <v>3.09</v>
      </c>
      <c r="I186">
        <f t="shared" si="2"/>
        <v>0</v>
      </c>
      <c r="J186">
        <v>12</v>
      </c>
      <c r="K186" t="s">
        <v>16</v>
      </c>
      <c r="L186">
        <v>1</v>
      </c>
      <c r="M186" t="s">
        <v>35</v>
      </c>
      <c r="N186" t="str">
        <f>IF(Table1[[#This Row],[Age]]&lt;20,"Teen",IF(Table1[[#This Row],[Age]]&lt;=22,"Young Adult","Adult"))</f>
        <v>Young Adult</v>
      </c>
    </row>
    <row r="187" spans="1:14" x14ac:dyDescent="0.35">
      <c r="A187" t="s">
        <v>232</v>
      </c>
      <c r="B187">
        <v>25</v>
      </c>
      <c r="C187" t="s">
        <v>13</v>
      </c>
      <c r="D187" t="s">
        <v>31</v>
      </c>
      <c r="E187">
        <v>3</v>
      </c>
      <c r="F187" t="s">
        <v>40</v>
      </c>
      <c r="G187">
        <v>3.26</v>
      </c>
      <c r="H187">
        <v>3.46</v>
      </c>
      <c r="I187">
        <f t="shared" si="2"/>
        <v>0.20000000000000018</v>
      </c>
      <c r="J187">
        <v>9</v>
      </c>
      <c r="K187" t="s">
        <v>16</v>
      </c>
      <c r="L187">
        <v>9</v>
      </c>
      <c r="M187" t="s">
        <v>35</v>
      </c>
      <c r="N187" t="str">
        <f>IF(Table1[[#This Row],[Age]]&lt;20,"Teen",IF(Table1[[#This Row],[Age]]&lt;=22,"Young Adult","Adult"))</f>
        <v>Adult</v>
      </c>
    </row>
    <row r="188" spans="1:14" x14ac:dyDescent="0.35">
      <c r="A188" t="s">
        <v>233</v>
      </c>
      <c r="B188">
        <v>23</v>
      </c>
      <c r="C188" t="s">
        <v>19</v>
      </c>
      <c r="D188" t="s">
        <v>25</v>
      </c>
      <c r="E188">
        <v>4</v>
      </c>
      <c r="F188" t="s">
        <v>56</v>
      </c>
      <c r="G188">
        <v>2.9</v>
      </c>
      <c r="H188">
        <v>3</v>
      </c>
      <c r="I188">
        <f t="shared" si="2"/>
        <v>0.10000000000000009</v>
      </c>
      <c r="J188">
        <v>11</v>
      </c>
      <c r="K188" t="s">
        <v>16</v>
      </c>
      <c r="L188">
        <v>8</v>
      </c>
      <c r="M188" t="s">
        <v>45</v>
      </c>
      <c r="N188" t="str">
        <f>IF(Table1[[#This Row],[Age]]&lt;20,"Teen",IF(Table1[[#This Row],[Age]]&lt;=22,"Young Adult","Adult"))</f>
        <v>Adult</v>
      </c>
    </row>
    <row r="189" spans="1:14" x14ac:dyDescent="0.35">
      <c r="A189" t="s">
        <v>234</v>
      </c>
      <c r="B189">
        <v>18</v>
      </c>
      <c r="C189" t="s">
        <v>39</v>
      </c>
      <c r="D189" t="s">
        <v>34</v>
      </c>
      <c r="E189">
        <v>9</v>
      </c>
      <c r="F189" t="s">
        <v>15</v>
      </c>
      <c r="G189">
        <v>3.71</v>
      </c>
      <c r="H189">
        <v>3.61</v>
      </c>
      <c r="I189">
        <f t="shared" si="2"/>
        <v>-0.10000000000000009</v>
      </c>
      <c r="J189">
        <v>2</v>
      </c>
      <c r="K189" t="s">
        <v>16</v>
      </c>
      <c r="L189">
        <v>6</v>
      </c>
      <c r="M189" t="s">
        <v>66</v>
      </c>
      <c r="N189" t="str">
        <f>IF(Table1[[#This Row],[Age]]&lt;20,"Teen",IF(Table1[[#This Row],[Age]]&lt;=22,"Young Adult","Adult"))</f>
        <v>Teen</v>
      </c>
    </row>
    <row r="190" spans="1:14" x14ac:dyDescent="0.35">
      <c r="A190" t="s">
        <v>235</v>
      </c>
      <c r="B190">
        <v>23</v>
      </c>
      <c r="C190" t="s">
        <v>19</v>
      </c>
      <c r="D190" t="s">
        <v>34</v>
      </c>
      <c r="E190">
        <v>8</v>
      </c>
      <c r="F190" t="s">
        <v>56</v>
      </c>
      <c r="G190">
        <v>2.91</v>
      </c>
      <c r="H190">
        <v>2.81</v>
      </c>
      <c r="I190">
        <f t="shared" si="2"/>
        <v>-0.10000000000000009</v>
      </c>
      <c r="J190">
        <v>14</v>
      </c>
      <c r="K190" t="s">
        <v>27</v>
      </c>
      <c r="L190">
        <v>8</v>
      </c>
      <c r="M190" t="s">
        <v>37</v>
      </c>
      <c r="N190" t="str">
        <f>IF(Table1[[#This Row],[Age]]&lt;20,"Teen",IF(Table1[[#This Row],[Age]]&lt;=22,"Young Adult","Adult"))</f>
        <v>Adult</v>
      </c>
    </row>
    <row r="191" spans="1:14" x14ac:dyDescent="0.35">
      <c r="A191" t="s">
        <v>236</v>
      </c>
      <c r="B191">
        <v>24</v>
      </c>
      <c r="C191" t="s">
        <v>30</v>
      </c>
      <c r="D191" t="s">
        <v>25</v>
      </c>
      <c r="E191">
        <v>6</v>
      </c>
      <c r="F191" t="s">
        <v>26</v>
      </c>
      <c r="G191">
        <v>2.58</v>
      </c>
      <c r="H191">
        <v>2.68</v>
      </c>
      <c r="I191">
        <f t="shared" si="2"/>
        <v>0.10000000000000009</v>
      </c>
      <c r="J191">
        <v>15</v>
      </c>
      <c r="K191" t="s">
        <v>16</v>
      </c>
      <c r="L191">
        <v>8</v>
      </c>
      <c r="M191" t="s">
        <v>48</v>
      </c>
      <c r="N191" t="str">
        <f>IF(Table1[[#This Row],[Age]]&lt;20,"Teen",IF(Table1[[#This Row],[Age]]&lt;=22,"Young Adult","Adult"))</f>
        <v>Adult</v>
      </c>
    </row>
    <row r="192" spans="1:14" x14ac:dyDescent="0.35">
      <c r="A192" t="s">
        <v>237</v>
      </c>
      <c r="B192">
        <v>19</v>
      </c>
      <c r="C192" t="s">
        <v>30</v>
      </c>
      <c r="D192" t="s">
        <v>34</v>
      </c>
      <c r="E192">
        <v>10</v>
      </c>
      <c r="F192" t="s">
        <v>56</v>
      </c>
      <c r="G192">
        <v>3.34</v>
      </c>
      <c r="H192">
        <v>3.64</v>
      </c>
      <c r="I192">
        <f t="shared" si="2"/>
        <v>0.30000000000000027</v>
      </c>
      <c r="J192">
        <v>5</v>
      </c>
      <c r="K192" t="s">
        <v>27</v>
      </c>
      <c r="L192">
        <v>6</v>
      </c>
      <c r="M192" t="s">
        <v>35</v>
      </c>
      <c r="N192" t="str">
        <f>IF(Table1[[#This Row],[Age]]&lt;20,"Teen",IF(Table1[[#This Row],[Age]]&lt;=22,"Young Adult","Adult"))</f>
        <v>Teen</v>
      </c>
    </row>
    <row r="193" spans="1:14" x14ac:dyDescent="0.35">
      <c r="A193" t="s">
        <v>238</v>
      </c>
      <c r="B193">
        <v>25</v>
      </c>
      <c r="C193" t="s">
        <v>24</v>
      </c>
      <c r="D193" t="s">
        <v>25</v>
      </c>
      <c r="E193">
        <v>3</v>
      </c>
      <c r="F193" t="s">
        <v>56</v>
      </c>
      <c r="G193">
        <v>2.84</v>
      </c>
      <c r="H193">
        <v>3.14</v>
      </c>
      <c r="I193">
        <f t="shared" si="2"/>
        <v>0.30000000000000027</v>
      </c>
      <c r="J193">
        <v>7</v>
      </c>
      <c r="K193" t="s">
        <v>32</v>
      </c>
      <c r="L193">
        <v>6</v>
      </c>
      <c r="M193" t="s">
        <v>35</v>
      </c>
      <c r="N193" t="str">
        <f>IF(Table1[[#This Row],[Age]]&lt;20,"Teen",IF(Table1[[#This Row],[Age]]&lt;=22,"Young Adult","Adult"))</f>
        <v>Adult</v>
      </c>
    </row>
    <row r="194" spans="1:14" x14ac:dyDescent="0.35">
      <c r="A194" t="s">
        <v>239</v>
      </c>
      <c r="B194">
        <v>21</v>
      </c>
      <c r="C194" t="s">
        <v>30</v>
      </c>
      <c r="D194" t="s">
        <v>34</v>
      </c>
      <c r="E194">
        <v>7</v>
      </c>
      <c r="F194" t="s">
        <v>40</v>
      </c>
      <c r="G194">
        <v>2.67</v>
      </c>
      <c r="H194">
        <v>2.97</v>
      </c>
      <c r="I194">
        <f t="shared" si="2"/>
        <v>0.30000000000000027</v>
      </c>
      <c r="J194">
        <v>15</v>
      </c>
      <c r="K194" t="s">
        <v>32</v>
      </c>
      <c r="L194">
        <v>6</v>
      </c>
      <c r="M194" t="s">
        <v>50</v>
      </c>
      <c r="N194" t="str">
        <f>IF(Table1[[#This Row],[Age]]&lt;20,"Teen",IF(Table1[[#This Row],[Age]]&lt;=22,"Young Adult","Adult"))</f>
        <v>Young Adult</v>
      </c>
    </row>
    <row r="195" spans="1:14" x14ac:dyDescent="0.35">
      <c r="A195" t="s">
        <v>240</v>
      </c>
      <c r="B195">
        <v>18</v>
      </c>
      <c r="C195" t="s">
        <v>42</v>
      </c>
      <c r="D195" t="s">
        <v>14</v>
      </c>
      <c r="E195">
        <v>5</v>
      </c>
      <c r="F195" t="s">
        <v>56</v>
      </c>
      <c r="G195">
        <v>3.69</v>
      </c>
      <c r="H195">
        <v>3.79</v>
      </c>
      <c r="I195">
        <f t="shared" ref="I195:I258" si="3">H195-G195</f>
        <v>0.10000000000000009</v>
      </c>
      <c r="J195">
        <v>6</v>
      </c>
      <c r="K195" t="s">
        <v>32</v>
      </c>
      <c r="L195">
        <v>10</v>
      </c>
      <c r="M195" t="s">
        <v>52</v>
      </c>
      <c r="N195" t="str">
        <f>IF(Table1[[#This Row],[Age]]&lt;20,"Teen",IF(Table1[[#This Row],[Age]]&lt;=22,"Young Adult","Adult"))</f>
        <v>Teen</v>
      </c>
    </row>
    <row r="196" spans="1:14" x14ac:dyDescent="0.35">
      <c r="A196" t="s">
        <v>241</v>
      </c>
      <c r="B196">
        <v>19</v>
      </c>
      <c r="C196" t="s">
        <v>39</v>
      </c>
      <c r="D196" t="s">
        <v>34</v>
      </c>
      <c r="E196">
        <v>8</v>
      </c>
      <c r="F196" t="s">
        <v>56</v>
      </c>
      <c r="G196">
        <v>3.4</v>
      </c>
      <c r="H196">
        <v>3.4</v>
      </c>
      <c r="I196">
        <f t="shared" si="3"/>
        <v>0</v>
      </c>
      <c r="J196">
        <v>13</v>
      </c>
      <c r="K196" t="s">
        <v>27</v>
      </c>
      <c r="L196">
        <v>7</v>
      </c>
      <c r="M196" t="s">
        <v>43</v>
      </c>
      <c r="N196" t="str">
        <f>IF(Table1[[#This Row],[Age]]&lt;20,"Teen",IF(Table1[[#This Row],[Age]]&lt;=22,"Young Adult","Adult"))</f>
        <v>Teen</v>
      </c>
    </row>
    <row r="197" spans="1:14" x14ac:dyDescent="0.35">
      <c r="A197" t="s">
        <v>242</v>
      </c>
      <c r="B197">
        <v>21</v>
      </c>
      <c r="C197" t="s">
        <v>42</v>
      </c>
      <c r="D197" t="s">
        <v>20</v>
      </c>
      <c r="E197">
        <v>2</v>
      </c>
      <c r="F197" t="s">
        <v>26</v>
      </c>
      <c r="G197">
        <v>2.92</v>
      </c>
      <c r="H197">
        <v>2.82</v>
      </c>
      <c r="I197">
        <f t="shared" si="3"/>
        <v>-0.10000000000000009</v>
      </c>
      <c r="J197">
        <v>13</v>
      </c>
      <c r="K197" t="s">
        <v>32</v>
      </c>
      <c r="L197">
        <v>5</v>
      </c>
      <c r="M197" t="s">
        <v>50</v>
      </c>
      <c r="N197" t="str">
        <f>IF(Table1[[#This Row],[Age]]&lt;20,"Teen",IF(Table1[[#This Row],[Age]]&lt;=22,"Young Adult","Adult"))</f>
        <v>Young Adult</v>
      </c>
    </row>
    <row r="198" spans="1:14" x14ac:dyDescent="0.35">
      <c r="A198" t="s">
        <v>243</v>
      </c>
      <c r="B198">
        <v>18</v>
      </c>
      <c r="C198" t="s">
        <v>24</v>
      </c>
      <c r="D198" t="s">
        <v>25</v>
      </c>
      <c r="E198">
        <v>1</v>
      </c>
      <c r="F198" t="s">
        <v>26</v>
      </c>
      <c r="G198">
        <v>2.75</v>
      </c>
      <c r="H198">
        <v>2.65</v>
      </c>
      <c r="I198">
        <f t="shared" si="3"/>
        <v>-0.10000000000000009</v>
      </c>
      <c r="J198">
        <v>14</v>
      </c>
      <c r="K198" t="s">
        <v>27</v>
      </c>
      <c r="L198">
        <v>3</v>
      </c>
      <c r="M198" t="s">
        <v>100</v>
      </c>
      <c r="N198" t="str">
        <f>IF(Table1[[#This Row],[Age]]&lt;20,"Teen",IF(Table1[[#This Row],[Age]]&lt;=22,"Young Adult","Adult"))</f>
        <v>Teen</v>
      </c>
    </row>
    <row r="199" spans="1:14" x14ac:dyDescent="0.35">
      <c r="A199" t="s">
        <v>244</v>
      </c>
      <c r="B199">
        <v>22</v>
      </c>
      <c r="C199" t="s">
        <v>13</v>
      </c>
      <c r="D199" t="s">
        <v>31</v>
      </c>
      <c r="E199">
        <v>10</v>
      </c>
      <c r="F199" t="s">
        <v>40</v>
      </c>
      <c r="G199">
        <v>3.08</v>
      </c>
      <c r="H199">
        <v>3.18</v>
      </c>
      <c r="I199">
        <f t="shared" si="3"/>
        <v>0.10000000000000009</v>
      </c>
      <c r="J199">
        <v>7</v>
      </c>
      <c r="K199" t="s">
        <v>27</v>
      </c>
      <c r="L199">
        <v>5</v>
      </c>
      <c r="M199" t="s">
        <v>100</v>
      </c>
      <c r="N199" t="str">
        <f>IF(Table1[[#This Row],[Age]]&lt;20,"Teen",IF(Table1[[#This Row],[Age]]&lt;=22,"Young Adult","Adult"))</f>
        <v>Young Adult</v>
      </c>
    </row>
    <row r="200" spans="1:14" x14ac:dyDescent="0.35">
      <c r="A200" t="s">
        <v>245</v>
      </c>
      <c r="B200">
        <v>22</v>
      </c>
      <c r="C200" t="s">
        <v>39</v>
      </c>
      <c r="D200" t="s">
        <v>25</v>
      </c>
      <c r="E200">
        <v>3</v>
      </c>
      <c r="F200" t="s">
        <v>40</v>
      </c>
      <c r="G200">
        <v>3.55</v>
      </c>
      <c r="H200">
        <v>3.55</v>
      </c>
      <c r="I200">
        <f t="shared" si="3"/>
        <v>0</v>
      </c>
      <c r="J200">
        <v>11</v>
      </c>
      <c r="K200" t="s">
        <v>16</v>
      </c>
      <c r="L200">
        <v>7</v>
      </c>
      <c r="M200" t="s">
        <v>17</v>
      </c>
      <c r="N200" t="str">
        <f>IF(Table1[[#This Row],[Age]]&lt;20,"Teen",IF(Table1[[#This Row],[Age]]&lt;=22,"Young Adult","Adult"))</f>
        <v>Young Adult</v>
      </c>
    </row>
    <row r="201" spans="1:14" x14ac:dyDescent="0.35">
      <c r="A201" t="s">
        <v>246</v>
      </c>
      <c r="B201">
        <v>23</v>
      </c>
      <c r="C201" t="s">
        <v>24</v>
      </c>
      <c r="D201" t="s">
        <v>20</v>
      </c>
      <c r="E201">
        <v>9</v>
      </c>
      <c r="F201" t="s">
        <v>56</v>
      </c>
      <c r="G201">
        <v>3.4</v>
      </c>
      <c r="H201">
        <v>3.6</v>
      </c>
      <c r="I201">
        <f t="shared" si="3"/>
        <v>0.20000000000000018</v>
      </c>
      <c r="J201">
        <v>7</v>
      </c>
      <c r="K201" t="s">
        <v>27</v>
      </c>
      <c r="L201">
        <v>6</v>
      </c>
      <c r="M201" t="s">
        <v>50</v>
      </c>
      <c r="N201" t="str">
        <f>IF(Table1[[#This Row],[Age]]&lt;20,"Teen",IF(Table1[[#This Row],[Age]]&lt;=22,"Young Adult","Adult"))</f>
        <v>Adult</v>
      </c>
    </row>
    <row r="202" spans="1:14" x14ac:dyDescent="0.35">
      <c r="A202" t="s">
        <v>247</v>
      </c>
      <c r="B202">
        <v>18</v>
      </c>
      <c r="C202" t="s">
        <v>24</v>
      </c>
      <c r="D202" t="s">
        <v>20</v>
      </c>
      <c r="E202">
        <v>7</v>
      </c>
      <c r="F202" t="s">
        <v>40</v>
      </c>
      <c r="G202">
        <v>3.76</v>
      </c>
      <c r="H202">
        <v>3.66</v>
      </c>
      <c r="I202">
        <f t="shared" si="3"/>
        <v>-9.9999999999999645E-2</v>
      </c>
      <c r="J202">
        <v>12</v>
      </c>
      <c r="K202" t="s">
        <v>27</v>
      </c>
      <c r="L202">
        <v>3</v>
      </c>
      <c r="M202" t="s">
        <v>35</v>
      </c>
      <c r="N202" t="str">
        <f>IF(Table1[[#This Row],[Age]]&lt;20,"Teen",IF(Table1[[#This Row],[Age]]&lt;=22,"Young Adult","Adult"))</f>
        <v>Teen</v>
      </c>
    </row>
    <row r="203" spans="1:14" x14ac:dyDescent="0.35">
      <c r="A203" t="s">
        <v>248</v>
      </c>
      <c r="B203">
        <v>23</v>
      </c>
      <c r="C203" t="s">
        <v>24</v>
      </c>
      <c r="D203" t="s">
        <v>31</v>
      </c>
      <c r="E203">
        <v>9</v>
      </c>
      <c r="F203" t="s">
        <v>15</v>
      </c>
      <c r="G203">
        <v>3.25</v>
      </c>
      <c r="H203">
        <v>3.35</v>
      </c>
      <c r="I203">
        <f t="shared" si="3"/>
        <v>0.10000000000000009</v>
      </c>
      <c r="J203">
        <v>4</v>
      </c>
      <c r="K203" t="s">
        <v>32</v>
      </c>
      <c r="L203">
        <v>10</v>
      </c>
      <c r="M203" t="s">
        <v>74</v>
      </c>
      <c r="N203" t="str">
        <f>IF(Table1[[#This Row],[Age]]&lt;20,"Teen",IF(Table1[[#This Row],[Age]]&lt;=22,"Young Adult","Adult"))</f>
        <v>Adult</v>
      </c>
    </row>
    <row r="204" spans="1:14" x14ac:dyDescent="0.35">
      <c r="A204" t="s">
        <v>249</v>
      </c>
      <c r="B204">
        <v>24</v>
      </c>
      <c r="C204" t="s">
        <v>30</v>
      </c>
      <c r="D204" t="s">
        <v>20</v>
      </c>
      <c r="E204">
        <v>1</v>
      </c>
      <c r="F204" t="s">
        <v>40</v>
      </c>
      <c r="G204">
        <v>3.6</v>
      </c>
      <c r="H204">
        <v>3.7</v>
      </c>
      <c r="I204">
        <f t="shared" si="3"/>
        <v>0.10000000000000009</v>
      </c>
      <c r="J204">
        <v>2</v>
      </c>
      <c r="K204" t="s">
        <v>32</v>
      </c>
      <c r="L204">
        <v>5</v>
      </c>
      <c r="M204" t="s">
        <v>74</v>
      </c>
      <c r="N204" t="str">
        <f>IF(Table1[[#This Row],[Age]]&lt;20,"Teen",IF(Table1[[#This Row],[Age]]&lt;=22,"Young Adult","Adult"))</f>
        <v>Adult</v>
      </c>
    </row>
    <row r="205" spans="1:14" x14ac:dyDescent="0.35">
      <c r="A205" t="s">
        <v>250</v>
      </c>
      <c r="B205">
        <v>19</v>
      </c>
      <c r="C205" t="s">
        <v>30</v>
      </c>
      <c r="D205" t="s">
        <v>14</v>
      </c>
      <c r="E205">
        <v>8</v>
      </c>
      <c r="F205" t="s">
        <v>56</v>
      </c>
      <c r="G205">
        <v>3.67</v>
      </c>
      <c r="H205">
        <v>3.87</v>
      </c>
      <c r="I205">
        <f t="shared" si="3"/>
        <v>0.20000000000000018</v>
      </c>
      <c r="J205">
        <v>4</v>
      </c>
      <c r="K205" t="s">
        <v>27</v>
      </c>
      <c r="L205">
        <v>1</v>
      </c>
      <c r="M205" t="s">
        <v>35</v>
      </c>
      <c r="N205" t="str">
        <f>IF(Table1[[#This Row],[Age]]&lt;20,"Teen",IF(Table1[[#This Row],[Age]]&lt;=22,"Young Adult","Adult"))</f>
        <v>Teen</v>
      </c>
    </row>
    <row r="206" spans="1:14" x14ac:dyDescent="0.35">
      <c r="A206" t="s">
        <v>251</v>
      </c>
      <c r="B206">
        <v>19</v>
      </c>
      <c r="C206" t="s">
        <v>24</v>
      </c>
      <c r="D206" t="s">
        <v>34</v>
      </c>
      <c r="E206">
        <v>4</v>
      </c>
      <c r="F206" t="s">
        <v>21</v>
      </c>
      <c r="G206">
        <v>2.64</v>
      </c>
      <c r="H206">
        <v>2.84</v>
      </c>
      <c r="I206">
        <f t="shared" si="3"/>
        <v>0.19999999999999973</v>
      </c>
      <c r="J206">
        <v>4</v>
      </c>
      <c r="K206" t="s">
        <v>27</v>
      </c>
      <c r="L206">
        <v>7</v>
      </c>
      <c r="M206" t="s">
        <v>28</v>
      </c>
      <c r="N206" t="str">
        <f>IF(Table1[[#This Row],[Age]]&lt;20,"Teen",IF(Table1[[#This Row],[Age]]&lt;=22,"Young Adult","Adult"))</f>
        <v>Teen</v>
      </c>
    </row>
    <row r="207" spans="1:14" x14ac:dyDescent="0.35">
      <c r="A207" t="s">
        <v>252</v>
      </c>
      <c r="B207">
        <v>22</v>
      </c>
      <c r="C207" t="s">
        <v>39</v>
      </c>
      <c r="D207" t="s">
        <v>20</v>
      </c>
      <c r="E207">
        <v>1</v>
      </c>
      <c r="F207" t="s">
        <v>26</v>
      </c>
      <c r="G207">
        <v>3.78</v>
      </c>
      <c r="H207">
        <v>4</v>
      </c>
      <c r="I207">
        <f t="shared" si="3"/>
        <v>0.2200000000000002</v>
      </c>
      <c r="J207">
        <v>15</v>
      </c>
      <c r="K207" t="s">
        <v>27</v>
      </c>
      <c r="L207">
        <v>8</v>
      </c>
      <c r="M207" t="s">
        <v>37</v>
      </c>
      <c r="N207" t="str">
        <f>IF(Table1[[#This Row],[Age]]&lt;20,"Teen",IF(Table1[[#This Row],[Age]]&lt;=22,"Young Adult","Adult"))</f>
        <v>Young Adult</v>
      </c>
    </row>
    <row r="208" spans="1:14" x14ac:dyDescent="0.35">
      <c r="A208" t="s">
        <v>253</v>
      </c>
      <c r="B208">
        <v>23</v>
      </c>
      <c r="C208" t="s">
        <v>39</v>
      </c>
      <c r="D208" t="s">
        <v>25</v>
      </c>
      <c r="E208">
        <v>4</v>
      </c>
      <c r="F208" t="s">
        <v>40</v>
      </c>
      <c r="G208">
        <v>3.71</v>
      </c>
      <c r="H208">
        <v>3.81</v>
      </c>
      <c r="I208">
        <f t="shared" si="3"/>
        <v>0.10000000000000009</v>
      </c>
      <c r="J208">
        <v>6</v>
      </c>
      <c r="K208" t="s">
        <v>32</v>
      </c>
      <c r="L208">
        <v>3</v>
      </c>
      <c r="M208" t="s">
        <v>100</v>
      </c>
      <c r="N208" t="str">
        <f>IF(Table1[[#This Row],[Age]]&lt;20,"Teen",IF(Table1[[#This Row],[Age]]&lt;=22,"Young Adult","Adult"))</f>
        <v>Adult</v>
      </c>
    </row>
    <row r="209" spans="1:14" x14ac:dyDescent="0.35">
      <c r="A209" t="s">
        <v>254</v>
      </c>
      <c r="B209">
        <v>19</v>
      </c>
      <c r="C209" t="s">
        <v>30</v>
      </c>
      <c r="D209" t="s">
        <v>34</v>
      </c>
      <c r="E209">
        <v>4</v>
      </c>
      <c r="F209" t="s">
        <v>21</v>
      </c>
      <c r="G209">
        <v>3.93</v>
      </c>
      <c r="H209">
        <v>4</v>
      </c>
      <c r="I209">
        <f t="shared" si="3"/>
        <v>6.999999999999984E-2</v>
      </c>
      <c r="J209">
        <v>13</v>
      </c>
      <c r="K209" t="s">
        <v>16</v>
      </c>
      <c r="L209">
        <v>10</v>
      </c>
      <c r="M209" t="s">
        <v>48</v>
      </c>
      <c r="N209" t="str">
        <f>IF(Table1[[#This Row],[Age]]&lt;20,"Teen",IF(Table1[[#This Row],[Age]]&lt;=22,"Young Adult","Adult"))</f>
        <v>Teen</v>
      </c>
    </row>
    <row r="210" spans="1:14" x14ac:dyDescent="0.35">
      <c r="A210" t="s">
        <v>255</v>
      </c>
      <c r="B210">
        <v>25</v>
      </c>
      <c r="C210" t="s">
        <v>42</v>
      </c>
      <c r="D210" t="s">
        <v>20</v>
      </c>
      <c r="E210">
        <v>9</v>
      </c>
      <c r="F210" t="s">
        <v>15</v>
      </c>
      <c r="G210">
        <v>2.65</v>
      </c>
      <c r="H210">
        <v>2.85</v>
      </c>
      <c r="I210">
        <f t="shared" si="3"/>
        <v>0.20000000000000018</v>
      </c>
      <c r="J210">
        <v>8</v>
      </c>
      <c r="K210" t="s">
        <v>32</v>
      </c>
      <c r="L210">
        <v>10</v>
      </c>
      <c r="M210" t="s">
        <v>48</v>
      </c>
      <c r="N210" t="str">
        <f>IF(Table1[[#This Row],[Age]]&lt;20,"Teen",IF(Table1[[#This Row],[Age]]&lt;=22,"Young Adult","Adult"))</f>
        <v>Adult</v>
      </c>
    </row>
    <row r="211" spans="1:14" x14ac:dyDescent="0.35">
      <c r="A211" t="s">
        <v>256</v>
      </c>
      <c r="B211">
        <v>18</v>
      </c>
      <c r="C211" t="s">
        <v>19</v>
      </c>
      <c r="D211" t="s">
        <v>34</v>
      </c>
      <c r="E211">
        <v>3</v>
      </c>
      <c r="F211" t="s">
        <v>56</v>
      </c>
      <c r="G211">
        <v>3.89</v>
      </c>
      <c r="H211">
        <v>3.89</v>
      </c>
      <c r="I211">
        <f t="shared" si="3"/>
        <v>0</v>
      </c>
      <c r="J211">
        <v>4</v>
      </c>
      <c r="K211" t="s">
        <v>32</v>
      </c>
      <c r="L211">
        <v>4</v>
      </c>
      <c r="M211" t="s">
        <v>52</v>
      </c>
      <c r="N211" t="str">
        <f>IF(Table1[[#This Row],[Age]]&lt;20,"Teen",IF(Table1[[#This Row],[Age]]&lt;=22,"Young Adult","Adult"))</f>
        <v>Teen</v>
      </c>
    </row>
    <row r="212" spans="1:14" x14ac:dyDescent="0.35">
      <c r="A212" t="s">
        <v>257</v>
      </c>
      <c r="B212">
        <v>23</v>
      </c>
      <c r="C212" t="s">
        <v>13</v>
      </c>
      <c r="D212" t="s">
        <v>31</v>
      </c>
      <c r="E212">
        <v>3</v>
      </c>
      <c r="F212" t="s">
        <v>21</v>
      </c>
      <c r="G212">
        <v>3.27</v>
      </c>
      <c r="H212">
        <v>3.57</v>
      </c>
      <c r="I212">
        <f t="shared" si="3"/>
        <v>0.29999999999999982</v>
      </c>
      <c r="J212">
        <v>8</v>
      </c>
      <c r="K212" t="s">
        <v>32</v>
      </c>
      <c r="L212">
        <v>6</v>
      </c>
      <c r="M212" t="s">
        <v>43</v>
      </c>
      <c r="N212" t="str">
        <f>IF(Table1[[#This Row],[Age]]&lt;20,"Teen",IF(Table1[[#This Row],[Age]]&lt;=22,"Young Adult","Adult"))</f>
        <v>Adult</v>
      </c>
    </row>
    <row r="213" spans="1:14" x14ac:dyDescent="0.35">
      <c r="A213" t="s">
        <v>258</v>
      </c>
      <c r="B213">
        <v>23</v>
      </c>
      <c r="C213" t="s">
        <v>39</v>
      </c>
      <c r="D213" t="s">
        <v>34</v>
      </c>
      <c r="E213">
        <v>8</v>
      </c>
      <c r="F213" t="s">
        <v>40</v>
      </c>
      <c r="G213">
        <v>3.28</v>
      </c>
      <c r="H213">
        <v>3.28</v>
      </c>
      <c r="I213">
        <f t="shared" si="3"/>
        <v>0</v>
      </c>
      <c r="J213">
        <v>7</v>
      </c>
      <c r="K213" t="s">
        <v>32</v>
      </c>
      <c r="L213">
        <v>3</v>
      </c>
      <c r="M213" t="s">
        <v>48</v>
      </c>
      <c r="N213" t="str">
        <f>IF(Table1[[#This Row],[Age]]&lt;20,"Teen",IF(Table1[[#This Row],[Age]]&lt;=22,"Young Adult","Adult"))</f>
        <v>Adult</v>
      </c>
    </row>
    <row r="214" spans="1:14" x14ac:dyDescent="0.35">
      <c r="A214" t="s">
        <v>259</v>
      </c>
      <c r="B214">
        <v>20</v>
      </c>
      <c r="C214" t="s">
        <v>24</v>
      </c>
      <c r="D214" t="s">
        <v>34</v>
      </c>
      <c r="E214">
        <v>10</v>
      </c>
      <c r="F214" t="s">
        <v>40</v>
      </c>
      <c r="G214">
        <v>3.01</v>
      </c>
      <c r="H214">
        <v>3.01</v>
      </c>
      <c r="I214">
        <f t="shared" si="3"/>
        <v>0</v>
      </c>
      <c r="J214">
        <v>5</v>
      </c>
      <c r="K214" t="s">
        <v>32</v>
      </c>
      <c r="L214">
        <v>2</v>
      </c>
      <c r="M214" t="s">
        <v>66</v>
      </c>
      <c r="N214" t="str">
        <f>IF(Table1[[#This Row],[Age]]&lt;20,"Teen",IF(Table1[[#This Row],[Age]]&lt;=22,"Young Adult","Adult"))</f>
        <v>Young Adult</v>
      </c>
    </row>
    <row r="215" spans="1:14" x14ac:dyDescent="0.35">
      <c r="A215" t="s">
        <v>260</v>
      </c>
      <c r="B215">
        <v>21</v>
      </c>
      <c r="C215" t="s">
        <v>42</v>
      </c>
      <c r="D215" t="s">
        <v>31</v>
      </c>
      <c r="E215">
        <v>6</v>
      </c>
      <c r="F215" t="s">
        <v>40</v>
      </c>
      <c r="G215">
        <v>2.62</v>
      </c>
      <c r="H215">
        <v>2.62</v>
      </c>
      <c r="I215">
        <f t="shared" si="3"/>
        <v>0</v>
      </c>
      <c r="J215">
        <v>5</v>
      </c>
      <c r="K215" t="s">
        <v>32</v>
      </c>
      <c r="L215">
        <v>4</v>
      </c>
      <c r="M215" t="s">
        <v>74</v>
      </c>
      <c r="N215" t="str">
        <f>IF(Table1[[#This Row],[Age]]&lt;20,"Teen",IF(Table1[[#This Row],[Age]]&lt;=22,"Young Adult","Adult"))</f>
        <v>Young Adult</v>
      </c>
    </row>
    <row r="216" spans="1:14" x14ac:dyDescent="0.35">
      <c r="A216" t="s">
        <v>261</v>
      </c>
      <c r="B216">
        <v>22</v>
      </c>
      <c r="C216" t="s">
        <v>42</v>
      </c>
      <c r="D216" t="s">
        <v>20</v>
      </c>
      <c r="E216">
        <v>4</v>
      </c>
      <c r="F216" t="s">
        <v>56</v>
      </c>
      <c r="G216">
        <v>2.5299999999999998</v>
      </c>
      <c r="H216">
        <v>2.63</v>
      </c>
      <c r="I216">
        <f t="shared" si="3"/>
        <v>0.10000000000000009</v>
      </c>
      <c r="J216">
        <v>13</v>
      </c>
      <c r="K216" t="s">
        <v>32</v>
      </c>
      <c r="L216">
        <v>6</v>
      </c>
      <c r="M216" t="s">
        <v>87</v>
      </c>
      <c r="N216" t="str">
        <f>IF(Table1[[#This Row],[Age]]&lt;20,"Teen",IF(Table1[[#This Row],[Age]]&lt;=22,"Young Adult","Adult"))</f>
        <v>Young Adult</v>
      </c>
    </row>
    <row r="217" spans="1:14" x14ac:dyDescent="0.35">
      <c r="A217" t="s">
        <v>262</v>
      </c>
      <c r="B217">
        <v>20</v>
      </c>
      <c r="C217" t="s">
        <v>39</v>
      </c>
      <c r="D217" t="s">
        <v>34</v>
      </c>
      <c r="E217">
        <v>7</v>
      </c>
      <c r="F217" t="s">
        <v>40</v>
      </c>
      <c r="G217">
        <v>3.11</v>
      </c>
      <c r="H217">
        <v>3.01</v>
      </c>
      <c r="I217">
        <f t="shared" si="3"/>
        <v>-0.10000000000000009</v>
      </c>
      <c r="J217">
        <v>5</v>
      </c>
      <c r="K217" t="s">
        <v>32</v>
      </c>
      <c r="L217">
        <v>3</v>
      </c>
      <c r="M217" t="s">
        <v>17</v>
      </c>
      <c r="N217" t="str">
        <f>IF(Table1[[#This Row],[Age]]&lt;20,"Teen",IF(Table1[[#This Row],[Age]]&lt;=22,"Young Adult","Adult"))</f>
        <v>Young Adult</v>
      </c>
    </row>
    <row r="218" spans="1:14" x14ac:dyDescent="0.35">
      <c r="A218" t="s">
        <v>263</v>
      </c>
      <c r="B218">
        <v>22</v>
      </c>
      <c r="C218" t="s">
        <v>39</v>
      </c>
      <c r="D218" t="s">
        <v>25</v>
      </c>
      <c r="E218">
        <v>6</v>
      </c>
      <c r="F218" t="s">
        <v>40</v>
      </c>
      <c r="G218">
        <v>3.61</v>
      </c>
      <c r="H218">
        <v>3.51</v>
      </c>
      <c r="I218">
        <f t="shared" si="3"/>
        <v>-0.10000000000000009</v>
      </c>
      <c r="J218">
        <v>4</v>
      </c>
      <c r="K218" t="s">
        <v>32</v>
      </c>
      <c r="L218">
        <v>4</v>
      </c>
      <c r="M218" t="s">
        <v>17</v>
      </c>
      <c r="N218" t="str">
        <f>IF(Table1[[#This Row],[Age]]&lt;20,"Teen",IF(Table1[[#This Row],[Age]]&lt;=22,"Young Adult","Adult"))</f>
        <v>Young Adult</v>
      </c>
    </row>
    <row r="219" spans="1:14" x14ac:dyDescent="0.35">
      <c r="A219" t="s">
        <v>264</v>
      </c>
      <c r="B219">
        <v>21</v>
      </c>
      <c r="C219" t="s">
        <v>24</v>
      </c>
      <c r="D219" t="s">
        <v>25</v>
      </c>
      <c r="E219">
        <v>1</v>
      </c>
      <c r="F219" t="s">
        <v>56</v>
      </c>
      <c r="G219">
        <v>3.78</v>
      </c>
      <c r="H219">
        <v>3.68</v>
      </c>
      <c r="I219">
        <f t="shared" si="3"/>
        <v>-9.9999999999999645E-2</v>
      </c>
      <c r="J219">
        <v>4</v>
      </c>
      <c r="K219" t="s">
        <v>16</v>
      </c>
      <c r="L219">
        <v>1</v>
      </c>
      <c r="M219" t="s">
        <v>37</v>
      </c>
      <c r="N219" t="str">
        <f>IF(Table1[[#This Row],[Age]]&lt;20,"Teen",IF(Table1[[#This Row],[Age]]&lt;=22,"Young Adult","Adult"))</f>
        <v>Young Adult</v>
      </c>
    </row>
    <row r="220" spans="1:14" x14ac:dyDescent="0.35">
      <c r="A220" t="s">
        <v>265</v>
      </c>
      <c r="B220">
        <v>24</v>
      </c>
      <c r="C220" t="s">
        <v>30</v>
      </c>
      <c r="D220" t="s">
        <v>31</v>
      </c>
      <c r="E220">
        <v>5</v>
      </c>
      <c r="F220" t="s">
        <v>15</v>
      </c>
      <c r="G220">
        <v>3.49</v>
      </c>
      <c r="H220">
        <v>3.49</v>
      </c>
      <c r="I220">
        <f t="shared" si="3"/>
        <v>0</v>
      </c>
      <c r="J220">
        <v>5</v>
      </c>
      <c r="K220" t="s">
        <v>27</v>
      </c>
      <c r="L220">
        <v>3</v>
      </c>
      <c r="M220" t="s">
        <v>35</v>
      </c>
      <c r="N220" t="str">
        <f>IF(Table1[[#This Row],[Age]]&lt;20,"Teen",IF(Table1[[#This Row],[Age]]&lt;=22,"Young Adult","Adult"))</f>
        <v>Adult</v>
      </c>
    </row>
    <row r="221" spans="1:14" x14ac:dyDescent="0.35">
      <c r="A221" t="s">
        <v>266</v>
      </c>
      <c r="B221">
        <v>23</v>
      </c>
      <c r="C221" t="s">
        <v>42</v>
      </c>
      <c r="D221" t="s">
        <v>31</v>
      </c>
      <c r="E221">
        <v>6</v>
      </c>
      <c r="F221" t="s">
        <v>56</v>
      </c>
      <c r="G221">
        <v>2.76</v>
      </c>
      <c r="H221">
        <v>2.66</v>
      </c>
      <c r="I221">
        <f t="shared" si="3"/>
        <v>-9.9999999999999645E-2</v>
      </c>
      <c r="J221">
        <v>7</v>
      </c>
      <c r="K221" t="s">
        <v>32</v>
      </c>
      <c r="L221">
        <v>10</v>
      </c>
      <c r="M221" t="s">
        <v>100</v>
      </c>
      <c r="N221" t="str">
        <f>IF(Table1[[#This Row],[Age]]&lt;20,"Teen",IF(Table1[[#This Row],[Age]]&lt;=22,"Young Adult","Adult"))</f>
        <v>Adult</v>
      </c>
    </row>
    <row r="222" spans="1:14" x14ac:dyDescent="0.35">
      <c r="A222" t="s">
        <v>267</v>
      </c>
      <c r="B222">
        <v>25</v>
      </c>
      <c r="C222" t="s">
        <v>42</v>
      </c>
      <c r="D222" t="s">
        <v>14</v>
      </c>
      <c r="E222">
        <v>1</v>
      </c>
      <c r="F222" t="s">
        <v>15</v>
      </c>
      <c r="G222">
        <v>2.91</v>
      </c>
      <c r="H222">
        <v>2.81</v>
      </c>
      <c r="I222">
        <f t="shared" si="3"/>
        <v>-0.10000000000000009</v>
      </c>
      <c r="J222">
        <v>11</v>
      </c>
      <c r="K222" t="s">
        <v>27</v>
      </c>
      <c r="L222">
        <v>8</v>
      </c>
      <c r="M222" t="s">
        <v>17</v>
      </c>
      <c r="N222" t="str">
        <f>IF(Table1[[#This Row],[Age]]&lt;20,"Teen",IF(Table1[[#This Row],[Age]]&lt;=22,"Young Adult","Adult"))</f>
        <v>Adult</v>
      </c>
    </row>
    <row r="223" spans="1:14" x14ac:dyDescent="0.35">
      <c r="A223" t="s">
        <v>268</v>
      </c>
      <c r="B223">
        <v>21</v>
      </c>
      <c r="C223" t="s">
        <v>42</v>
      </c>
      <c r="D223" t="s">
        <v>34</v>
      </c>
      <c r="E223">
        <v>9</v>
      </c>
      <c r="F223" t="s">
        <v>21</v>
      </c>
      <c r="G223">
        <v>2.84</v>
      </c>
      <c r="H223">
        <v>3.04</v>
      </c>
      <c r="I223">
        <f t="shared" si="3"/>
        <v>0.20000000000000018</v>
      </c>
      <c r="J223">
        <v>10</v>
      </c>
      <c r="K223" t="s">
        <v>16</v>
      </c>
      <c r="L223">
        <v>7</v>
      </c>
      <c r="M223" t="s">
        <v>48</v>
      </c>
      <c r="N223" t="str">
        <f>IF(Table1[[#This Row],[Age]]&lt;20,"Teen",IF(Table1[[#This Row],[Age]]&lt;=22,"Young Adult","Adult"))</f>
        <v>Young Adult</v>
      </c>
    </row>
    <row r="224" spans="1:14" x14ac:dyDescent="0.35">
      <c r="A224" t="s">
        <v>269</v>
      </c>
      <c r="B224">
        <v>21</v>
      </c>
      <c r="C224" t="s">
        <v>30</v>
      </c>
      <c r="D224" t="s">
        <v>14</v>
      </c>
      <c r="E224">
        <v>10</v>
      </c>
      <c r="F224" t="s">
        <v>40</v>
      </c>
      <c r="G224">
        <v>2.67</v>
      </c>
      <c r="H224">
        <v>2.87</v>
      </c>
      <c r="I224">
        <f t="shared" si="3"/>
        <v>0.20000000000000018</v>
      </c>
      <c r="J224">
        <v>14</v>
      </c>
      <c r="K224" t="s">
        <v>27</v>
      </c>
      <c r="L224">
        <v>8</v>
      </c>
      <c r="M224" t="s">
        <v>35</v>
      </c>
      <c r="N224" t="str">
        <f>IF(Table1[[#This Row],[Age]]&lt;20,"Teen",IF(Table1[[#This Row],[Age]]&lt;=22,"Young Adult","Adult"))</f>
        <v>Young Adult</v>
      </c>
    </row>
    <row r="225" spans="1:14" x14ac:dyDescent="0.35">
      <c r="A225" t="s">
        <v>270</v>
      </c>
      <c r="B225">
        <v>20</v>
      </c>
      <c r="C225" t="s">
        <v>13</v>
      </c>
      <c r="D225" t="s">
        <v>31</v>
      </c>
      <c r="E225">
        <v>3</v>
      </c>
      <c r="F225" t="s">
        <v>56</v>
      </c>
      <c r="G225">
        <v>3.46</v>
      </c>
      <c r="H225">
        <v>3.46</v>
      </c>
      <c r="I225">
        <f t="shared" si="3"/>
        <v>0</v>
      </c>
      <c r="J225">
        <v>9</v>
      </c>
      <c r="K225" t="s">
        <v>32</v>
      </c>
      <c r="L225">
        <v>4</v>
      </c>
      <c r="M225" t="s">
        <v>22</v>
      </c>
      <c r="N225" t="str">
        <f>IF(Table1[[#This Row],[Age]]&lt;20,"Teen",IF(Table1[[#This Row],[Age]]&lt;=22,"Young Adult","Adult"))</f>
        <v>Young Adult</v>
      </c>
    </row>
    <row r="226" spans="1:14" x14ac:dyDescent="0.35">
      <c r="A226" t="s">
        <v>271</v>
      </c>
      <c r="B226">
        <v>19</v>
      </c>
      <c r="C226" t="s">
        <v>13</v>
      </c>
      <c r="D226" t="s">
        <v>14</v>
      </c>
      <c r="E226">
        <v>4</v>
      </c>
      <c r="F226" t="s">
        <v>40</v>
      </c>
      <c r="G226">
        <v>3.6</v>
      </c>
      <c r="H226">
        <v>3.9</v>
      </c>
      <c r="I226">
        <f t="shared" si="3"/>
        <v>0.29999999999999982</v>
      </c>
      <c r="J226">
        <v>12</v>
      </c>
      <c r="K226" t="s">
        <v>27</v>
      </c>
      <c r="L226">
        <v>5</v>
      </c>
      <c r="M226" t="s">
        <v>35</v>
      </c>
      <c r="N226" t="str">
        <f>IF(Table1[[#This Row],[Age]]&lt;20,"Teen",IF(Table1[[#This Row],[Age]]&lt;=22,"Young Adult","Adult"))</f>
        <v>Teen</v>
      </c>
    </row>
    <row r="227" spans="1:14" x14ac:dyDescent="0.35">
      <c r="A227" t="s">
        <v>272</v>
      </c>
      <c r="B227">
        <v>23</v>
      </c>
      <c r="C227" t="s">
        <v>30</v>
      </c>
      <c r="D227" t="s">
        <v>25</v>
      </c>
      <c r="E227">
        <v>9</v>
      </c>
      <c r="F227" t="s">
        <v>40</v>
      </c>
      <c r="G227">
        <v>3.57</v>
      </c>
      <c r="H227">
        <v>3.87</v>
      </c>
      <c r="I227">
        <f t="shared" si="3"/>
        <v>0.30000000000000027</v>
      </c>
      <c r="J227">
        <v>13</v>
      </c>
      <c r="K227" t="s">
        <v>16</v>
      </c>
      <c r="L227">
        <v>6</v>
      </c>
      <c r="M227" t="s">
        <v>87</v>
      </c>
      <c r="N227" t="str">
        <f>IF(Table1[[#This Row],[Age]]&lt;20,"Teen",IF(Table1[[#This Row],[Age]]&lt;=22,"Young Adult","Adult"))</f>
        <v>Adult</v>
      </c>
    </row>
    <row r="228" spans="1:14" x14ac:dyDescent="0.35">
      <c r="A228" t="s">
        <v>273</v>
      </c>
      <c r="B228">
        <v>23</v>
      </c>
      <c r="C228" t="s">
        <v>30</v>
      </c>
      <c r="D228" t="s">
        <v>14</v>
      </c>
      <c r="E228">
        <v>3</v>
      </c>
      <c r="F228" t="s">
        <v>21</v>
      </c>
      <c r="G228">
        <v>2.98</v>
      </c>
      <c r="H228">
        <v>3.28</v>
      </c>
      <c r="I228">
        <f t="shared" si="3"/>
        <v>0.29999999999999982</v>
      </c>
      <c r="J228">
        <v>12</v>
      </c>
      <c r="K228" t="s">
        <v>32</v>
      </c>
      <c r="L228">
        <v>1</v>
      </c>
      <c r="M228" t="s">
        <v>43</v>
      </c>
      <c r="N228" t="str">
        <f>IF(Table1[[#This Row],[Age]]&lt;20,"Teen",IF(Table1[[#This Row],[Age]]&lt;=22,"Young Adult","Adult"))</f>
        <v>Adult</v>
      </c>
    </row>
    <row r="229" spans="1:14" x14ac:dyDescent="0.35">
      <c r="A229" t="s">
        <v>274</v>
      </c>
      <c r="B229">
        <v>25</v>
      </c>
      <c r="C229" t="s">
        <v>24</v>
      </c>
      <c r="D229" t="s">
        <v>20</v>
      </c>
      <c r="E229">
        <v>7</v>
      </c>
      <c r="F229" t="s">
        <v>15</v>
      </c>
      <c r="G229">
        <v>3.17</v>
      </c>
      <c r="H229">
        <v>3.47</v>
      </c>
      <c r="I229">
        <f t="shared" si="3"/>
        <v>0.30000000000000027</v>
      </c>
      <c r="J229">
        <v>2</v>
      </c>
      <c r="K229" t="s">
        <v>27</v>
      </c>
      <c r="L229">
        <v>7</v>
      </c>
      <c r="M229" t="s">
        <v>87</v>
      </c>
      <c r="N229" t="str">
        <f>IF(Table1[[#This Row],[Age]]&lt;20,"Teen",IF(Table1[[#This Row],[Age]]&lt;=22,"Young Adult","Adult"))</f>
        <v>Adult</v>
      </c>
    </row>
    <row r="230" spans="1:14" x14ac:dyDescent="0.35">
      <c r="A230" t="s">
        <v>275</v>
      </c>
      <c r="B230">
        <v>21</v>
      </c>
      <c r="C230" t="s">
        <v>19</v>
      </c>
      <c r="D230" t="s">
        <v>34</v>
      </c>
      <c r="E230">
        <v>3</v>
      </c>
      <c r="F230" t="s">
        <v>15</v>
      </c>
      <c r="G230">
        <v>3.94</v>
      </c>
      <c r="H230">
        <v>4</v>
      </c>
      <c r="I230">
        <f t="shared" si="3"/>
        <v>6.0000000000000053E-2</v>
      </c>
      <c r="J230">
        <v>2</v>
      </c>
      <c r="K230" t="s">
        <v>32</v>
      </c>
      <c r="L230">
        <v>1</v>
      </c>
      <c r="M230" t="s">
        <v>60</v>
      </c>
      <c r="N230" t="str">
        <f>IF(Table1[[#This Row],[Age]]&lt;20,"Teen",IF(Table1[[#This Row],[Age]]&lt;=22,"Young Adult","Adult"))</f>
        <v>Young Adult</v>
      </c>
    </row>
    <row r="231" spans="1:14" x14ac:dyDescent="0.35">
      <c r="A231" t="s">
        <v>276</v>
      </c>
      <c r="B231">
        <v>25</v>
      </c>
      <c r="C231" t="s">
        <v>19</v>
      </c>
      <c r="D231" t="s">
        <v>31</v>
      </c>
      <c r="E231">
        <v>3</v>
      </c>
      <c r="F231" t="s">
        <v>26</v>
      </c>
      <c r="G231">
        <v>3.8</v>
      </c>
      <c r="H231">
        <v>3.8</v>
      </c>
      <c r="I231">
        <f t="shared" si="3"/>
        <v>0</v>
      </c>
      <c r="J231">
        <v>14</v>
      </c>
      <c r="K231" t="s">
        <v>32</v>
      </c>
      <c r="L231">
        <v>2</v>
      </c>
      <c r="M231" t="s">
        <v>50</v>
      </c>
      <c r="N231" t="str">
        <f>IF(Table1[[#This Row],[Age]]&lt;20,"Teen",IF(Table1[[#This Row],[Age]]&lt;=22,"Young Adult","Adult"))</f>
        <v>Adult</v>
      </c>
    </row>
    <row r="232" spans="1:14" x14ac:dyDescent="0.35">
      <c r="A232" t="s">
        <v>277</v>
      </c>
      <c r="B232">
        <v>22</v>
      </c>
      <c r="C232" t="s">
        <v>39</v>
      </c>
      <c r="D232" t="s">
        <v>25</v>
      </c>
      <c r="E232">
        <v>4</v>
      </c>
      <c r="F232" t="s">
        <v>26</v>
      </c>
      <c r="G232">
        <v>3.27</v>
      </c>
      <c r="H232">
        <v>3.17</v>
      </c>
      <c r="I232">
        <f t="shared" si="3"/>
        <v>-0.10000000000000009</v>
      </c>
      <c r="J232">
        <v>2</v>
      </c>
      <c r="K232" t="s">
        <v>27</v>
      </c>
      <c r="L232">
        <v>5</v>
      </c>
      <c r="M232" t="s">
        <v>48</v>
      </c>
      <c r="N232" t="str">
        <f>IF(Table1[[#This Row],[Age]]&lt;20,"Teen",IF(Table1[[#This Row],[Age]]&lt;=22,"Young Adult","Adult"))</f>
        <v>Young Adult</v>
      </c>
    </row>
    <row r="233" spans="1:14" x14ac:dyDescent="0.35">
      <c r="A233" t="s">
        <v>278</v>
      </c>
      <c r="B233">
        <v>24</v>
      </c>
      <c r="C233" t="s">
        <v>39</v>
      </c>
      <c r="D233" t="s">
        <v>31</v>
      </c>
      <c r="E233">
        <v>7</v>
      </c>
      <c r="F233" t="s">
        <v>15</v>
      </c>
      <c r="G233">
        <v>2.65</v>
      </c>
      <c r="H233">
        <v>2.95</v>
      </c>
      <c r="I233">
        <f t="shared" si="3"/>
        <v>0.30000000000000027</v>
      </c>
      <c r="J233">
        <v>5</v>
      </c>
      <c r="K233" t="s">
        <v>16</v>
      </c>
      <c r="L233">
        <v>6</v>
      </c>
      <c r="M233" t="s">
        <v>28</v>
      </c>
      <c r="N233" t="str">
        <f>IF(Table1[[#This Row],[Age]]&lt;20,"Teen",IF(Table1[[#This Row],[Age]]&lt;=22,"Young Adult","Adult"))</f>
        <v>Adult</v>
      </c>
    </row>
    <row r="234" spans="1:14" x14ac:dyDescent="0.35">
      <c r="A234" t="s">
        <v>279</v>
      </c>
      <c r="B234">
        <v>24</v>
      </c>
      <c r="C234" t="s">
        <v>39</v>
      </c>
      <c r="D234" t="s">
        <v>31</v>
      </c>
      <c r="E234">
        <v>7</v>
      </c>
      <c r="F234" t="s">
        <v>26</v>
      </c>
      <c r="G234">
        <v>2.74</v>
      </c>
      <c r="H234">
        <v>2.84</v>
      </c>
      <c r="I234">
        <f t="shared" si="3"/>
        <v>9.9999999999999645E-2</v>
      </c>
      <c r="J234">
        <v>8</v>
      </c>
      <c r="K234" t="s">
        <v>16</v>
      </c>
      <c r="L234">
        <v>5</v>
      </c>
      <c r="M234" t="s">
        <v>52</v>
      </c>
      <c r="N234" t="str">
        <f>IF(Table1[[#This Row],[Age]]&lt;20,"Teen",IF(Table1[[#This Row],[Age]]&lt;=22,"Young Adult","Adult"))</f>
        <v>Adult</v>
      </c>
    </row>
    <row r="235" spans="1:14" x14ac:dyDescent="0.35">
      <c r="A235" t="s">
        <v>280</v>
      </c>
      <c r="B235">
        <v>22</v>
      </c>
      <c r="C235" t="s">
        <v>19</v>
      </c>
      <c r="D235" t="s">
        <v>14</v>
      </c>
      <c r="E235">
        <v>5</v>
      </c>
      <c r="F235" t="s">
        <v>21</v>
      </c>
      <c r="G235">
        <v>3.49</v>
      </c>
      <c r="H235">
        <v>3.59</v>
      </c>
      <c r="I235">
        <f t="shared" si="3"/>
        <v>9.9999999999999645E-2</v>
      </c>
      <c r="J235">
        <v>15</v>
      </c>
      <c r="K235" t="s">
        <v>16</v>
      </c>
      <c r="L235">
        <v>6</v>
      </c>
      <c r="M235" t="s">
        <v>37</v>
      </c>
      <c r="N235" t="str">
        <f>IF(Table1[[#This Row],[Age]]&lt;20,"Teen",IF(Table1[[#This Row],[Age]]&lt;=22,"Young Adult","Adult"))</f>
        <v>Young Adult</v>
      </c>
    </row>
    <row r="236" spans="1:14" x14ac:dyDescent="0.35">
      <c r="A236" t="s">
        <v>281</v>
      </c>
      <c r="B236">
        <v>23</v>
      </c>
      <c r="C236" t="s">
        <v>42</v>
      </c>
      <c r="D236" t="s">
        <v>34</v>
      </c>
      <c r="E236">
        <v>4</v>
      </c>
      <c r="F236" t="s">
        <v>21</v>
      </c>
      <c r="G236">
        <v>3.53</v>
      </c>
      <c r="H236">
        <v>3.53</v>
      </c>
      <c r="I236">
        <f t="shared" si="3"/>
        <v>0</v>
      </c>
      <c r="J236">
        <v>13</v>
      </c>
      <c r="K236" t="s">
        <v>32</v>
      </c>
      <c r="L236">
        <v>7</v>
      </c>
      <c r="M236" t="s">
        <v>48</v>
      </c>
      <c r="N236" t="str">
        <f>IF(Table1[[#This Row],[Age]]&lt;20,"Teen",IF(Table1[[#This Row],[Age]]&lt;=22,"Young Adult","Adult"))</f>
        <v>Adult</v>
      </c>
    </row>
    <row r="237" spans="1:14" x14ac:dyDescent="0.35">
      <c r="A237" t="s">
        <v>282</v>
      </c>
      <c r="B237">
        <v>21</v>
      </c>
      <c r="C237" t="s">
        <v>19</v>
      </c>
      <c r="D237" t="s">
        <v>20</v>
      </c>
      <c r="E237">
        <v>1</v>
      </c>
      <c r="F237" t="s">
        <v>26</v>
      </c>
      <c r="G237">
        <v>3.23</v>
      </c>
      <c r="H237">
        <v>3.53</v>
      </c>
      <c r="I237">
        <f t="shared" si="3"/>
        <v>0.29999999999999982</v>
      </c>
      <c r="J237">
        <v>10</v>
      </c>
      <c r="K237" t="s">
        <v>16</v>
      </c>
      <c r="L237">
        <v>7</v>
      </c>
      <c r="M237" t="s">
        <v>52</v>
      </c>
      <c r="N237" t="str">
        <f>IF(Table1[[#This Row],[Age]]&lt;20,"Teen",IF(Table1[[#This Row],[Age]]&lt;=22,"Young Adult","Adult"))</f>
        <v>Young Adult</v>
      </c>
    </row>
    <row r="238" spans="1:14" x14ac:dyDescent="0.35">
      <c r="A238" t="s">
        <v>283</v>
      </c>
      <c r="B238">
        <v>21</v>
      </c>
      <c r="C238" t="s">
        <v>24</v>
      </c>
      <c r="D238" t="s">
        <v>20</v>
      </c>
      <c r="E238">
        <v>4</v>
      </c>
      <c r="F238" t="s">
        <v>40</v>
      </c>
      <c r="G238">
        <v>3.28</v>
      </c>
      <c r="H238">
        <v>3.58</v>
      </c>
      <c r="I238">
        <f t="shared" si="3"/>
        <v>0.30000000000000027</v>
      </c>
      <c r="J238">
        <v>3</v>
      </c>
      <c r="K238" t="s">
        <v>16</v>
      </c>
      <c r="L238">
        <v>1</v>
      </c>
      <c r="M238" t="s">
        <v>64</v>
      </c>
      <c r="N238" t="str">
        <f>IF(Table1[[#This Row],[Age]]&lt;20,"Teen",IF(Table1[[#This Row],[Age]]&lt;=22,"Young Adult","Adult"))</f>
        <v>Young Adult</v>
      </c>
    </row>
    <row r="239" spans="1:14" x14ac:dyDescent="0.35">
      <c r="A239" t="s">
        <v>284</v>
      </c>
      <c r="B239">
        <v>22</v>
      </c>
      <c r="C239" t="s">
        <v>13</v>
      </c>
      <c r="D239" t="s">
        <v>20</v>
      </c>
      <c r="E239">
        <v>5</v>
      </c>
      <c r="F239" t="s">
        <v>21</v>
      </c>
      <c r="G239">
        <v>3.31</v>
      </c>
      <c r="H239">
        <v>3.61</v>
      </c>
      <c r="I239">
        <f t="shared" si="3"/>
        <v>0.29999999999999982</v>
      </c>
      <c r="J239">
        <v>2</v>
      </c>
      <c r="K239" t="s">
        <v>32</v>
      </c>
      <c r="L239">
        <v>3</v>
      </c>
      <c r="M239" t="s">
        <v>50</v>
      </c>
      <c r="N239" t="str">
        <f>IF(Table1[[#This Row],[Age]]&lt;20,"Teen",IF(Table1[[#This Row],[Age]]&lt;=22,"Young Adult","Adult"))</f>
        <v>Young Adult</v>
      </c>
    </row>
    <row r="240" spans="1:14" x14ac:dyDescent="0.35">
      <c r="A240" t="s">
        <v>285</v>
      </c>
      <c r="B240">
        <v>19</v>
      </c>
      <c r="C240" t="s">
        <v>30</v>
      </c>
      <c r="D240" t="s">
        <v>14</v>
      </c>
      <c r="E240">
        <v>1</v>
      </c>
      <c r="F240" t="s">
        <v>40</v>
      </c>
      <c r="G240">
        <v>3.71</v>
      </c>
      <c r="H240">
        <v>3.61</v>
      </c>
      <c r="I240">
        <f t="shared" si="3"/>
        <v>-0.10000000000000009</v>
      </c>
      <c r="J240">
        <v>14</v>
      </c>
      <c r="K240" t="s">
        <v>16</v>
      </c>
      <c r="L240">
        <v>9</v>
      </c>
      <c r="M240" t="s">
        <v>52</v>
      </c>
      <c r="N240" t="str">
        <f>IF(Table1[[#This Row],[Age]]&lt;20,"Teen",IF(Table1[[#This Row],[Age]]&lt;=22,"Young Adult","Adult"))</f>
        <v>Teen</v>
      </c>
    </row>
    <row r="241" spans="1:14" x14ac:dyDescent="0.35">
      <c r="A241" t="s">
        <v>286</v>
      </c>
      <c r="B241">
        <v>19</v>
      </c>
      <c r="C241" t="s">
        <v>24</v>
      </c>
      <c r="D241" t="s">
        <v>20</v>
      </c>
      <c r="E241">
        <v>8</v>
      </c>
      <c r="F241" t="s">
        <v>26</v>
      </c>
      <c r="G241">
        <v>3.32</v>
      </c>
      <c r="H241">
        <v>3.42</v>
      </c>
      <c r="I241">
        <f t="shared" si="3"/>
        <v>0.10000000000000009</v>
      </c>
      <c r="J241">
        <v>6</v>
      </c>
      <c r="K241" t="s">
        <v>32</v>
      </c>
      <c r="L241">
        <v>6</v>
      </c>
      <c r="M241" t="s">
        <v>87</v>
      </c>
      <c r="N241" t="str">
        <f>IF(Table1[[#This Row],[Age]]&lt;20,"Teen",IF(Table1[[#This Row],[Age]]&lt;=22,"Young Adult","Adult"))</f>
        <v>Teen</v>
      </c>
    </row>
    <row r="242" spans="1:14" x14ac:dyDescent="0.35">
      <c r="A242" t="s">
        <v>287</v>
      </c>
      <c r="B242">
        <v>20</v>
      </c>
      <c r="C242" t="s">
        <v>39</v>
      </c>
      <c r="D242" t="s">
        <v>34</v>
      </c>
      <c r="E242">
        <v>6</v>
      </c>
      <c r="F242" t="s">
        <v>21</v>
      </c>
      <c r="G242">
        <v>3.08</v>
      </c>
      <c r="H242">
        <v>3.08</v>
      </c>
      <c r="I242">
        <f t="shared" si="3"/>
        <v>0</v>
      </c>
      <c r="J242">
        <v>14</v>
      </c>
      <c r="K242" t="s">
        <v>32</v>
      </c>
      <c r="L242">
        <v>10</v>
      </c>
      <c r="M242" t="s">
        <v>100</v>
      </c>
      <c r="N242" t="str">
        <f>IF(Table1[[#This Row],[Age]]&lt;20,"Teen",IF(Table1[[#This Row],[Age]]&lt;=22,"Young Adult","Adult"))</f>
        <v>Young Adult</v>
      </c>
    </row>
    <row r="243" spans="1:14" x14ac:dyDescent="0.35">
      <c r="A243" t="s">
        <v>288</v>
      </c>
      <c r="B243">
        <v>22</v>
      </c>
      <c r="C243" t="s">
        <v>30</v>
      </c>
      <c r="D243" t="s">
        <v>25</v>
      </c>
      <c r="E243">
        <v>1</v>
      </c>
      <c r="F243" t="s">
        <v>56</v>
      </c>
      <c r="G243">
        <v>3.76</v>
      </c>
      <c r="H243">
        <v>3.66</v>
      </c>
      <c r="I243">
        <f t="shared" si="3"/>
        <v>-9.9999999999999645E-2</v>
      </c>
      <c r="J243">
        <v>12</v>
      </c>
      <c r="K243" t="s">
        <v>27</v>
      </c>
      <c r="L243">
        <v>7</v>
      </c>
      <c r="M243" t="s">
        <v>87</v>
      </c>
      <c r="N243" t="str">
        <f>IF(Table1[[#This Row],[Age]]&lt;20,"Teen",IF(Table1[[#This Row],[Age]]&lt;=22,"Young Adult","Adult"))</f>
        <v>Young Adult</v>
      </c>
    </row>
    <row r="244" spans="1:14" x14ac:dyDescent="0.35">
      <c r="A244" t="s">
        <v>289</v>
      </c>
      <c r="B244">
        <v>21</v>
      </c>
      <c r="C244" t="s">
        <v>24</v>
      </c>
      <c r="D244" t="s">
        <v>20</v>
      </c>
      <c r="E244">
        <v>8</v>
      </c>
      <c r="F244" t="s">
        <v>40</v>
      </c>
      <c r="G244">
        <v>2.84</v>
      </c>
      <c r="H244">
        <v>2.94</v>
      </c>
      <c r="I244">
        <f t="shared" si="3"/>
        <v>0.10000000000000009</v>
      </c>
      <c r="J244">
        <v>9</v>
      </c>
      <c r="K244" t="s">
        <v>27</v>
      </c>
      <c r="L244">
        <v>6</v>
      </c>
      <c r="M244" t="s">
        <v>52</v>
      </c>
      <c r="N244" t="str">
        <f>IF(Table1[[#This Row],[Age]]&lt;20,"Teen",IF(Table1[[#This Row],[Age]]&lt;=22,"Young Adult","Adult"))</f>
        <v>Young Adult</v>
      </c>
    </row>
    <row r="245" spans="1:14" x14ac:dyDescent="0.35">
      <c r="A245" t="s">
        <v>290</v>
      </c>
      <c r="B245">
        <v>21</v>
      </c>
      <c r="C245" t="s">
        <v>30</v>
      </c>
      <c r="D245" t="s">
        <v>25</v>
      </c>
      <c r="E245">
        <v>3</v>
      </c>
      <c r="F245" t="s">
        <v>15</v>
      </c>
      <c r="G245">
        <v>3.78</v>
      </c>
      <c r="H245">
        <v>4</v>
      </c>
      <c r="I245">
        <f t="shared" si="3"/>
        <v>0.2200000000000002</v>
      </c>
      <c r="J245">
        <v>4</v>
      </c>
      <c r="K245" t="s">
        <v>27</v>
      </c>
      <c r="L245">
        <v>3</v>
      </c>
      <c r="M245" t="s">
        <v>64</v>
      </c>
      <c r="N245" t="str">
        <f>IF(Table1[[#This Row],[Age]]&lt;20,"Teen",IF(Table1[[#This Row],[Age]]&lt;=22,"Young Adult","Adult"))</f>
        <v>Young Adult</v>
      </c>
    </row>
    <row r="246" spans="1:14" x14ac:dyDescent="0.35">
      <c r="A246" t="s">
        <v>291</v>
      </c>
      <c r="B246">
        <v>25</v>
      </c>
      <c r="C246" t="s">
        <v>39</v>
      </c>
      <c r="D246" t="s">
        <v>14</v>
      </c>
      <c r="E246">
        <v>1</v>
      </c>
      <c r="F246" t="s">
        <v>56</v>
      </c>
      <c r="G246">
        <v>3.92</v>
      </c>
      <c r="H246">
        <v>3.82</v>
      </c>
      <c r="I246">
        <f t="shared" si="3"/>
        <v>-0.10000000000000009</v>
      </c>
      <c r="J246">
        <v>2</v>
      </c>
      <c r="K246" t="s">
        <v>16</v>
      </c>
      <c r="L246">
        <v>6</v>
      </c>
      <c r="M246" t="s">
        <v>64</v>
      </c>
      <c r="N246" t="str">
        <f>IF(Table1[[#This Row],[Age]]&lt;20,"Teen",IF(Table1[[#This Row],[Age]]&lt;=22,"Young Adult","Adult"))</f>
        <v>Adult</v>
      </c>
    </row>
    <row r="247" spans="1:14" x14ac:dyDescent="0.35">
      <c r="A247" t="s">
        <v>292</v>
      </c>
      <c r="B247">
        <v>20</v>
      </c>
      <c r="C247" t="s">
        <v>30</v>
      </c>
      <c r="D247" t="s">
        <v>25</v>
      </c>
      <c r="E247">
        <v>2</v>
      </c>
      <c r="F247" t="s">
        <v>26</v>
      </c>
      <c r="G247">
        <v>2.65</v>
      </c>
      <c r="H247">
        <v>2.75</v>
      </c>
      <c r="I247">
        <f t="shared" si="3"/>
        <v>0.10000000000000009</v>
      </c>
      <c r="J247">
        <v>12</v>
      </c>
      <c r="K247" t="s">
        <v>16</v>
      </c>
      <c r="L247">
        <v>4</v>
      </c>
      <c r="M247" t="s">
        <v>43</v>
      </c>
      <c r="N247" t="str">
        <f>IF(Table1[[#This Row],[Age]]&lt;20,"Teen",IF(Table1[[#This Row],[Age]]&lt;=22,"Young Adult","Adult"))</f>
        <v>Young Adult</v>
      </c>
    </row>
    <row r="248" spans="1:14" x14ac:dyDescent="0.35">
      <c r="A248" t="s">
        <v>293</v>
      </c>
      <c r="B248">
        <v>19</v>
      </c>
      <c r="C248" t="s">
        <v>13</v>
      </c>
      <c r="D248" t="s">
        <v>14</v>
      </c>
      <c r="E248">
        <v>6</v>
      </c>
      <c r="F248" t="s">
        <v>15</v>
      </c>
      <c r="G248">
        <v>3.88</v>
      </c>
      <c r="H248">
        <v>3.88</v>
      </c>
      <c r="I248">
        <f t="shared" si="3"/>
        <v>0</v>
      </c>
      <c r="J248">
        <v>3</v>
      </c>
      <c r="K248" t="s">
        <v>32</v>
      </c>
      <c r="L248">
        <v>2</v>
      </c>
      <c r="M248" t="s">
        <v>22</v>
      </c>
      <c r="N248" t="str">
        <f>IF(Table1[[#This Row],[Age]]&lt;20,"Teen",IF(Table1[[#This Row],[Age]]&lt;=22,"Young Adult","Adult"))</f>
        <v>Teen</v>
      </c>
    </row>
    <row r="249" spans="1:14" x14ac:dyDescent="0.35">
      <c r="A249" t="s">
        <v>294</v>
      </c>
      <c r="B249">
        <v>22</v>
      </c>
      <c r="C249" t="s">
        <v>39</v>
      </c>
      <c r="D249" t="s">
        <v>34</v>
      </c>
      <c r="E249">
        <v>9</v>
      </c>
      <c r="F249" t="s">
        <v>40</v>
      </c>
      <c r="G249">
        <v>3.74</v>
      </c>
      <c r="H249">
        <v>3.64</v>
      </c>
      <c r="I249">
        <f t="shared" si="3"/>
        <v>-0.10000000000000009</v>
      </c>
      <c r="J249">
        <v>14</v>
      </c>
      <c r="K249" t="s">
        <v>16</v>
      </c>
      <c r="L249">
        <v>10</v>
      </c>
      <c r="M249" t="s">
        <v>50</v>
      </c>
      <c r="N249" t="str">
        <f>IF(Table1[[#This Row],[Age]]&lt;20,"Teen",IF(Table1[[#This Row],[Age]]&lt;=22,"Young Adult","Adult"))</f>
        <v>Young Adult</v>
      </c>
    </row>
    <row r="250" spans="1:14" x14ac:dyDescent="0.35">
      <c r="A250" t="s">
        <v>295</v>
      </c>
      <c r="B250">
        <v>20</v>
      </c>
      <c r="C250" t="s">
        <v>24</v>
      </c>
      <c r="D250" t="s">
        <v>25</v>
      </c>
      <c r="E250">
        <v>4</v>
      </c>
      <c r="F250" t="s">
        <v>56</v>
      </c>
      <c r="G250">
        <v>3.02</v>
      </c>
      <c r="H250">
        <v>2.92</v>
      </c>
      <c r="I250">
        <f t="shared" si="3"/>
        <v>-0.10000000000000009</v>
      </c>
      <c r="J250">
        <v>7</v>
      </c>
      <c r="K250" t="s">
        <v>32</v>
      </c>
      <c r="L250">
        <v>6</v>
      </c>
      <c r="M250" t="s">
        <v>50</v>
      </c>
      <c r="N250" t="str">
        <f>IF(Table1[[#This Row],[Age]]&lt;20,"Teen",IF(Table1[[#This Row],[Age]]&lt;=22,"Young Adult","Adult"))</f>
        <v>Young Adult</v>
      </c>
    </row>
    <row r="251" spans="1:14" x14ac:dyDescent="0.35">
      <c r="A251" t="s">
        <v>296</v>
      </c>
      <c r="B251">
        <v>23</v>
      </c>
      <c r="C251" t="s">
        <v>42</v>
      </c>
      <c r="D251" t="s">
        <v>14</v>
      </c>
      <c r="E251">
        <v>10</v>
      </c>
      <c r="F251" t="s">
        <v>56</v>
      </c>
      <c r="G251">
        <v>3.24</v>
      </c>
      <c r="H251">
        <v>3.14</v>
      </c>
      <c r="I251">
        <f t="shared" si="3"/>
        <v>-0.10000000000000009</v>
      </c>
      <c r="J251">
        <v>7</v>
      </c>
      <c r="K251" t="s">
        <v>16</v>
      </c>
      <c r="L251">
        <v>6</v>
      </c>
      <c r="M251" t="s">
        <v>60</v>
      </c>
      <c r="N251" t="str">
        <f>IF(Table1[[#This Row],[Age]]&lt;20,"Teen",IF(Table1[[#This Row],[Age]]&lt;=22,"Young Adult","Adult"))</f>
        <v>Adult</v>
      </c>
    </row>
    <row r="252" spans="1:14" x14ac:dyDescent="0.35">
      <c r="A252" t="s">
        <v>297</v>
      </c>
      <c r="B252">
        <v>24</v>
      </c>
      <c r="C252" t="s">
        <v>24</v>
      </c>
      <c r="D252" t="s">
        <v>20</v>
      </c>
      <c r="E252">
        <v>9</v>
      </c>
      <c r="F252" t="s">
        <v>15</v>
      </c>
      <c r="G252">
        <v>2.75</v>
      </c>
      <c r="H252">
        <v>2.65</v>
      </c>
      <c r="I252">
        <f t="shared" si="3"/>
        <v>-0.10000000000000009</v>
      </c>
      <c r="J252">
        <v>2</v>
      </c>
      <c r="K252" t="s">
        <v>27</v>
      </c>
      <c r="L252">
        <v>5</v>
      </c>
      <c r="M252" t="s">
        <v>35</v>
      </c>
      <c r="N252" t="str">
        <f>IF(Table1[[#This Row],[Age]]&lt;20,"Teen",IF(Table1[[#This Row],[Age]]&lt;=22,"Young Adult","Adult"))</f>
        <v>Adult</v>
      </c>
    </row>
    <row r="253" spans="1:14" x14ac:dyDescent="0.35">
      <c r="A253" t="s">
        <v>298</v>
      </c>
      <c r="B253">
        <v>24</v>
      </c>
      <c r="C253" t="s">
        <v>39</v>
      </c>
      <c r="D253" t="s">
        <v>25</v>
      </c>
      <c r="E253">
        <v>9</v>
      </c>
      <c r="F253" t="s">
        <v>15</v>
      </c>
      <c r="G253">
        <v>3.31</v>
      </c>
      <c r="H253">
        <v>3.41</v>
      </c>
      <c r="I253">
        <f t="shared" si="3"/>
        <v>0.10000000000000009</v>
      </c>
      <c r="J253">
        <v>5</v>
      </c>
      <c r="K253" t="s">
        <v>16</v>
      </c>
      <c r="L253">
        <v>3</v>
      </c>
      <c r="M253" t="s">
        <v>64</v>
      </c>
      <c r="N253" t="str">
        <f>IF(Table1[[#This Row],[Age]]&lt;20,"Teen",IF(Table1[[#This Row],[Age]]&lt;=22,"Young Adult","Adult"))</f>
        <v>Adult</v>
      </c>
    </row>
    <row r="254" spans="1:14" x14ac:dyDescent="0.35">
      <c r="A254" t="s">
        <v>299</v>
      </c>
      <c r="B254">
        <v>19</v>
      </c>
      <c r="C254" t="s">
        <v>30</v>
      </c>
      <c r="D254" t="s">
        <v>31</v>
      </c>
      <c r="E254">
        <v>4</v>
      </c>
      <c r="F254" t="s">
        <v>56</v>
      </c>
      <c r="G254">
        <v>2.77</v>
      </c>
      <c r="H254">
        <v>2.87</v>
      </c>
      <c r="I254">
        <f t="shared" si="3"/>
        <v>0.10000000000000009</v>
      </c>
      <c r="J254">
        <v>14</v>
      </c>
      <c r="K254" t="s">
        <v>27</v>
      </c>
      <c r="L254">
        <v>4</v>
      </c>
      <c r="M254" t="s">
        <v>35</v>
      </c>
      <c r="N254" t="str">
        <f>IF(Table1[[#This Row],[Age]]&lt;20,"Teen",IF(Table1[[#This Row],[Age]]&lt;=22,"Young Adult","Adult"))</f>
        <v>Teen</v>
      </c>
    </row>
    <row r="255" spans="1:14" x14ac:dyDescent="0.35">
      <c r="A255" t="s">
        <v>300</v>
      </c>
      <c r="B255">
        <v>22</v>
      </c>
      <c r="C255" t="s">
        <v>39</v>
      </c>
      <c r="D255" t="s">
        <v>14</v>
      </c>
      <c r="E255">
        <v>4</v>
      </c>
      <c r="F255" t="s">
        <v>21</v>
      </c>
      <c r="G255">
        <v>3.36</v>
      </c>
      <c r="H255">
        <v>3.66</v>
      </c>
      <c r="I255">
        <f t="shared" si="3"/>
        <v>0.30000000000000027</v>
      </c>
      <c r="J255">
        <v>2</v>
      </c>
      <c r="K255" t="s">
        <v>27</v>
      </c>
      <c r="L255">
        <v>2</v>
      </c>
      <c r="M255" t="s">
        <v>28</v>
      </c>
      <c r="N255" t="str">
        <f>IF(Table1[[#This Row],[Age]]&lt;20,"Teen",IF(Table1[[#This Row],[Age]]&lt;=22,"Young Adult","Adult"))</f>
        <v>Young Adult</v>
      </c>
    </row>
    <row r="256" spans="1:14" x14ac:dyDescent="0.35">
      <c r="A256" t="s">
        <v>301</v>
      </c>
      <c r="B256">
        <v>21</v>
      </c>
      <c r="C256" t="s">
        <v>30</v>
      </c>
      <c r="D256" t="s">
        <v>14</v>
      </c>
      <c r="E256">
        <v>9</v>
      </c>
      <c r="F256" t="s">
        <v>15</v>
      </c>
      <c r="G256">
        <v>3.99</v>
      </c>
      <c r="H256">
        <v>4</v>
      </c>
      <c r="I256">
        <f t="shared" si="3"/>
        <v>9.9999999999997868E-3</v>
      </c>
      <c r="J256">
        <v>9</v>
      </c>
      <c r="K256" t="s">
        <v>16</v>
      </c>
      <c r="L256">
        <v>2</v>
      </c>
      <c r="M256" t="s">
        <v>37</v>
      </c>
      <c r="N256" t="str">
        <f>IF(Table1[[#This Row],[Age]]&lt;20,"Teen",IF(Table1[[#This Row],[Age]]&lt;=22,"Young Adult","Adult"))</f>
        <v>Young Adult</v>
      </c>
    </row>
    <row r="257" spans="1:14" x14ac:dyDescent="0.35">
      <c r="A257" t="s">
        <v>302</v>
      </c>
      <c r="B257">
        <v>22</v>
      </c>
      <c r="C257" t="s">
        <v>19</v>
      </c>
      <c r="D257" t="s">
        <v>31</v>
      </c>
      <c r="E257">
        <v>3</v>
      </c>
      <c r="F257" t="s">
        <v>26</v>
      </c>
      <c r="G257">
        <v>3.39</v>
      </c>
      <c r="H257">
        <v>3.29</v>
      </c>
      <c r="I257">
        <f t="shared" si="3"/>
        <v>-0.10000000000000009</v>
      </c>
      <c r="J257">
        <v>2</v>
      </c>
      <c r="K257" t="s">
        <v>16</v>
      </c>
      <c r="L257">
        <v>10</v>
      </c>
      <c r="M257" t="s">
        <v>17</v>
      </c>
      <c r="N257" t="str">
        <f>IF(Table1[[#This Row],[Age]]&lt;20,"Teen",IF(Table1[[#This Row],[Age]]&lt;=22,"Young Adult","Adult"))</f>
        <v>Young Adult</v>
      </c>
    </row>
    <row r="258" spans="1:14" x14ac:dyDescent="0.35">
      <c r="A258" t="s">
        <v>303</v>
      </c>
      <c r="B258">
        <v>22</v>
      </c>
      <c r="C258" t="s">
        <v>13</v>
      </c>
      <c r="D258" t="s">
        <v>25</v>
      </c>
      <c r="E258">
        <v>6</v>
      </c>
      <c r="F258" t="s">
        <v>26</v>
      </c>
      <c r="G258">
        <v>3.5</v>
      </c>
      <c r="H258">
        <v>3.5</v>
      </c>
      <c r="I258">
        <f t="shared" si="3"/>
        <v>0</v>
      </c>
      <c r="J258">
        <v>9</v>
      </c>
      <c r="K258" t="s">
        <v>27</v>
      </c>
      <c r="L258">
        <v>9</v>
      </c>
      <c r="M258" t="s">
        <v>66</v>
      </c>
      <c r="N258" t="str">
        <f>IF(Table1[[#This Row],[Age]]&lt;20,"Teen",IF(Table1[[#This Row],[Age]]&lt;=22,"Young Adult","Adult"))</f>
        <v>Young Adult</v>
      </c>
    </row>
    <row r="259" spans="1:14" x14ac:dyDescent="0.35">
      <c r="A259" t="s">
        <v>304</v>
      </c>
      <c r="B259">
        <v>18</v>
      </c>
      <c r="C259" t="s">
        <v>24</v>
      </c>
      <c r="D259" t="s">
        <v>31</v>
      </c>
      <c r="E259">
        <v>3</v>
      </c>
      <c r="F259" t="s">
        <v>56</v>
      </c>
      <c r="G259">
        <v>2.73</v>
      </c>
      <c r="H259">
        <v>2.83</v>
      </c>
      <c r="I259">
        <f t="shared" ref="I259:I322" si="4">H259-G259</f>
        <v>0.10000000000000009</v>
      </c>
      <c r="J259">
        <v>3</v>
      </c>
      <c r="K259" t="s">
        <v>16</v>
      </c>
      <c r="L259">
        <v>6</v>
      </c>
      <c r="M259" t="s">
        <v>64</v>
      </c>
      <c r="N259" t="str">
        <f>IF(Table1[[#This Row],[Age]]&lt;20,"Teen",IF(Table1[[#This Row],[Age]]&lt;=22,"Young Adult","Adult"))</f>
        <v>Teen</v>
      </c>
    </row>
    <row r="260" spans="1:14" x14ac:dyDescent="0.35">
      <c r="A260" t="s">
        <v>305</v>
      </c>
      <c r="B260">
        <v>24</v>
      </c>
      <c r="C260" t="s">
        <v>24</v>
      </c>
      <c r="D260" t="s">
        <v>14</v>
      </c>
      <c r="E260">
        <v>9</v>
      </c>
      <c r="F260" t="s">
        <v>21</v>
      </c>
      <c r="G260">
        <v>2.5299999999999998</v>
      </c>
      <c r="H260">
        <v>2.4300000000000002</v>
      </c>
      <c r="I260">
        <f t="shared" si="4"/>
        <v>-9.9999999999999645E-2</v>
      </c>
      <c r="J260">
        <v>13</v>
      </c>
      <c r="K260" t="s">
        <v>32</v>
      </c>
      <c r="L260">
        <v>1</v>
      </c>
      <c r="M260" t="s">
        <v>37</v>
      </c>
      <c r="N260" t="str">
        <f>IF(Table1[[#This Row],[Age]]&lt;20,"Teen",IF(Table1[[#This Row],[Age]]&lt;=22,"Young Adult","Adult"))</f>
        <v>Adult</v>
      </c>
    </row>
    <row r="261" spans="1:14" x14ac:dyDescent="0.35">
      <c r="A261" t="s">
        <v>306</v>
      </c>
      <c r="B261">
        <v>23</v>
      </c>
      <c r="C261" t="s">
        <v>19</v>
      </c>
      <c r="D261" t="s">
        <v>20</v>
      </c>
      <c r="E261">
        <v>10</v>
      </c>
      <c r="F261" t="s">
        <v>40</v>
      </c>
      <c r="G261">
        <v>3.49</v>
      </c>
      <c r="H261">
        <v>3.39</v>
      </c>
      <c r="I261">
        <f t="shared" si="4"/>
        <v>-0.10000000000000009</v>
      </c>
      <c r="J261">
        <v>7</v>
      </c>
      <c r="K261" t="s">
        <v>32</v>
      </c>
      <c r="L261">
        <v>9</v>
      </c>
      <c r="M261" t="s">
        <v>64</v>
      </c>
      <c r="N261" t="str">
        <f>IF(Table1[[#This Row],[Age]]&lt;20,"Teen",IF(Table1[[#This Row],[Age]]&lt;=22,"Young Adult","Adult"))</f>
        <v>Adult</v>
      </c>
    </row>
    <row r="262" spans="1:14" x14ac:dyDescent="0.35">
      <c r="A262" t="s">
        <v>307</v>
      </c>
      <c r="B262">
        <v>20</v>
      </c>
      <c r="C262" t="s">
        <v>24</v>
      </c>
      <c r="D262" t="s">
        <v>25</v>
      </c>
      <c r="E262">
        <v>2</v>
      </c>
      <c r="F262" t="s">
        <v>26</v>
      </c>
      <c r="G262">
        <v>2.5099999999999998</v>
      </c>
      <c r="H262">
        <v>2.5099999999999998</v>
      </c>
      <c r="I262">
        <f t="shared" si="4"/>
        <v>0</v>
      </c>
      <c r="J262">
        <v>11</v>
      </c>
      <c r="K262" t="s">
        <v>27</v>
      </c>
      <c r="L262">
        <v>4</v>
      </c>
      <c r="M262" t="s">
        <v>74</v>
      </c>
      <c r="N262" t="str">
        <f>IF(Table1[[#This Row],[Age]]&lt;20,"Teen",IF(Table1[[#This Row],[Age]]&lt;=22,"Young Adult","Adult"))</f>
        <v>Young Adult</v>
      </c>
    </row>
    <row r="263" spans="1:14" x14ac:dyDescent="0.35">
      <c r="A263" t="s">
        <v>308</v>
      </c>
      <c r="B263">
        <v>24</v>
      </c>
      <c r="C263" t="s">
        <v>42</v>
      </c>
      <c r="D263" t="s">
        <v>20</v>
      </c>
      <c r="E263">
        <v>8</v>
      </c>
      <c r="F263" t="s">
        <v>26</v>
      </c>
      <c r="G263">
        <v>3.89</v>
      </c>
      <c r="H263">
        <v>3.89</v>
      </c>
      <c r="I263">
        <f t="shared" si="4"/>
        <v>0</v>
      </c>
      <c r="J263">
        <v>8</v>
      </c>
      <c r="K263" t="s">
        <v>27</v>
      </c>
      <c r="L263">
        <v>6</v>
      </c>
      <c r="M263" t="s">
        <v>43</v>
      </c>
      <c r="N263" t="str">
        <f>IF(Table1[[#This Row],[Age]]&lt;20,"Teen",IF(Table1[[#This Row],[Age]]&lt;=22,"Young Adult","Adult"))</f>
        <v>Adult</v>
      </c>
    </row>
    <row r="264" spans="1:14" x14ac:dyDescent="0.35">
      <c r="A264" t="s">
        <v>309</v>
      </c>
      <c r="B264">
        <v>21</v>
      </c>
      <c r="C264" t="s">
        <v>24</v>
      </c>
      <c r="D264" t="s">
        <v>25</v>
      </c>
      <c r="E264">
        <v>6</v>
      </c>
      <c r="F264" t="s">
        <v>21</v>
      </c>
      <c r="G264">
        <v>3.31</v>
      </c>
      <c r="H264">
        <v>3.21</v>
      </c>
      <c r="I264">
        <f t="shared" si="4"/>
        <v>-0.10000000000000009</v>
      </c>
      <c r="J264">
        <v>13</v>
      </c>
      <c r="K264" t="s">
        <v>32</v>
      </c>
      <c r="L264">
        <v>6</v>
      </c>
      <c r="M264" t="s">
        <v>22</v>
      </c>
      <c r="N264" t="str">
        <f>IF(Table1[[#This Row],[Age]]&lt;20,"Teen",IF(Table1[[#This Row],[Age]]&lt;=22,"Young Adult","Adult"))</f>
        <v>Young Adult</v>
      </c>
    </row>
    <row r="265" spans="1:14" x14ac:dyDescent="0.35">
      <c r="A265" t="s">
        <v>310</v>
      </c>
      <c r="B265">
        <v>22</v>
      </c>
      <c r="C265" t="s">
        <v>24</v>
      </c>
      <c r="D265" t="s">
        <v>14</v>
      </c>
      <c r="E265">
        <v>9</v>
      </c>
      <c r="F265" t="s">
        <v>21</v>
      </c>
      <c r="G265">
        <v>3.66</v>
      </c>
      <c r="H265">
        <v>3.76</v>
      </c>
      <c r="I265">
        <f t="shared" si="4"/>
        <v>9.9999999999999645E-2</v>
      </c>
      <c r="J265">
        <v>4</v>
      </c>
      <c r="K265" t="s">
        <v>32</v>
      </c>
      <c r="L265">
        <v>9</v>
      </c>
      <c r="M265" t="s">
        <v>74</v>
      </c>
      <c r="N265" t="str">
        <f>IF(Table1[[#This Row],[Age]]&lt;20,"Teen",IF(Table1[[#This Row],[Age]]&lt;=22,"Young Adult","Adult"))</f>
        <v>Young Adult</v>
      </c>
    </row>
    <row r="266" spans="1:14" x14ac:dyDescent="0.35">
      <c r="A266" t="s">
        <v>311</v>
      </c>
      <c r="B266">
        <v>24</v>
      </c>
      <c r="C266" t="s">
        <v>19</v>
      </c>
      <c r="D266" t="s">
        <v>34</v>
      </c>
      <c r="E266">
        <v>1</v>
      </c>
      <c r="F266" t="s">
        <v>26</v>
      </c>
      <c r="G266">
        <v>2.67</v>
      </c>
      <c r="H266">
        <v>2.77</v>
      </c>
      <c r="I266">
        <f t="shared" si="4"/>
        <v>0.10000000000000009</v>
      </c>
      <c r="J266">
        <v>6</v>
      </c>
      <c r="K266" t="s">
        <v>32</v>
      </c>
      <c r="L266">
        <v>5</v>
      </c>
      <c r="M266" t="s">
        <v>48</v>
      </c>
      <c r="N266" t="str">
        <f>IF(Table1[[#This Row],[Age]]&lt;20,"Teen",IF(Table1[[#This Row],[Age]]&lt;=22,"Young Adult","Adult"))</f>
        <v>Adult</v>
      </c>
    </row>
    <row r="267" spans="1:14" x14ac:dyDescent="0.35">
      <c r="A267" t="s">
        <v>312</v>
      </c>
      <c r="B267">
        <v>22</v>
      </c>
      <c r="C267" t="s">
        <v>42</v>
      </c>
      <c r="D267" t="s">
        <v>20</v>
      </c>
      <c r="E267">
        <v>5</v>
      </c>
      <c r="F267" t="s">
        <v>56</v>
      </c>
      <c r="G267">
        <v>3.7</v>
      </c>
      <c r="H267">
        <v>3.7</v>
      </c>
      <c r="I267">
        <f t="shared" si="4"/>
        <v>0</v>
      </c>
      <c r="J267">
        <v>2</v>
      </c>
      <c r="K267" t="s">
        <v>32</v>
      </c>
      <c r="L267">
        <v>1</v>
      </c>
      <c r="M267" t="s">
        <v>43</v>
      </c>
      <c r="N267" t="str">
        <f>IF(Table1[[#This Row],[Age]]&lt;20,"Teen",IF(Table1[[#This Row],[Age]]&lt;=22,"Young Adult","Adult"))</f>
        <v>Young Adult</v>
      </c>
    </row>
    <row r="268" spans="1:14" x14ac:dyDescent="0.35">
      <c r="A268" t="s">
        <v>313</v>
      </c>
      <c r="B268">
        <v>23</v>
      </c>
      <c r="C268" t="s">
        <v>42</v>
      </c>
      <c r="D268" t="s">
        <v>14</v>
      </c>
      <c r="E268">
        <v>8</v>
      </c>
      <c r="F268" t="s">
        <v>15</v>
      </c>
      <c r="G268">
        <v>3.55</v>
      </c>
      <c r="H268">
        <v>3.85</v>
      </c>
      <c r="I268">
        <f t="shared" si="4"/>
        <v>0.30000000000000027</v>
      </c>
      <c r="J268">
        <v>7</v>
      </c>
      <c r="K268" t="s">
        <v>27</v>
      </c>
      <c r="L268">
        <v>1</v>
      </c>
      <c r="M268" t="s">
        <v>35</v>
      </c>
      <c r="N268" t="str">
        <f>IF(Table1[[#This Row],[Age]]&lt;20,"Teen",IF(Table1[[#This Row],[Age]]&lt;=22,"Young Adult","Adult"))</f>
        <v>Adult</v>
      </c>
    </row>
    <row r="269" spans="1:14" x14ac:dyDescent="0.35">
      <c r="A269" t="s">
        <v>314</v>
      </c>
      <c r="B269">
        <v>20</v>
      </c>
      <c r="C269" t="s">
        <v>42</v>
      </c>
      <c r="D269" t="s">
        <v>14</v>
      </c>
      <c r="E269">
        <v>8</v>
      </c>
      <c r="F269" t="s">
        <v>26</v>
      </c>
      <c r="G269">
        <v>3.11</v>
      </c>
      <c r="H269">
        <v>3.41</v>
      </c>
      <c r="I269">
        <f t="shared" si="4"/>
        <v>0.30000000000000027</v>
      </c>
      <c r="J269">
        <v>13</v>
      </c>
      <c r="K269" t="s">
        <v>27</v>
      </c>
      <c r="L269">
        <v>1</v>
      </c>
      <c r="M269" t="s">
        <v>48</v>
      </c>
      <c r="N269" t="str">
        <f>IF(Table1[[#This Row],[Age]]&lt;20,"Teen",IF(Table1[[#This Row],[Age]]&lt;=22,"Young Adult","Adult"))</f>
        <v>Young Adult</v>
      </c>
    </row>
    <row r="270" spans="1:14" x14ac:dyDescent="0.35">
      <c r="A270" t="s">
        <v>315</v>
      </c>
      <c r="B270">
        <v>24</v>
      </c>
      <c r="C270" t="s">
        <v>13</v>
      </c>
      <c r="D270" t="s">
        <v>31</v>
      </c>
      <c r="E270">
        <v>1</v>
      </c>
      <c r="F270" t="s">
        <v>26</v>
      </c>
      <c r="G270">
        <v>2.94</v>
      </c>
      <c r="H270">
        <v>3.04</v>
      </c>
      <c r="I270">
        <f t="shared" si="4"/>
        <v>0.10000000000000009</v>
      </c>
      <c r="J270">
        <v>12</v>
      </c>
      <c r="K270" t="s">
        <v>27</v>
      </c>
      <c r="L270">
        <v>9</v>
      </c>
      <c r="M270" t="s">
        <v>64</v>
      </c>
      <c r="N270" t="str">
        <f>IF(Table1[[#This Row],[Age]]&lt;20,"Teen",IF(Table1[[#This Row],[Age]]&lt;=22,"Young Adult","Adult"))</f>
        <v>Adult</v>
      </c>
    </row>
    <row r="271" spans="1:14" x14ac:dyDescent="0.35">
      <c r="A271" t="s">
        <v>316</v>
      </c>
      <c r="B271">
        <v>22</v>
      </c>
      <c r="C271" t="s">
        <v>39</v>
      </c>
      <c r="D271" t="s">
        <v>25</v>
      </c>
      <c r="E271">
        <v>4</v>
      </c>
      <c r="F271" t="s">
        <v>21</v>
      </c>
      <c r="G271">
        <v>2.75</v>
      </c>
      <c r="H271">
        <v>3.05</v>
      </c>
      <c r="I271">
        <f t="shared" si="4"/>
        <v>0.29999999999999982</v>
      </c>
      <c r="J271">
        <v>4</v>
      </c>
      <c r="K271" t="s">
        <v>16</v>
      </c>
      <c r="L271">
        <v>7</v>
      </c>
      <c r="M271" t="s">
        <v>100</v>
      </c>
      <c r="N271" t="str">
        <f>IF(Table1[[#This Row],[Age]]&lt;20,"Teen",IF(Table1[[#This Row],[Age]]&lt;=22,"Young Adult","Adult"))</f>
        <v>Young Adult</v>
      </c>
    </row>
    <row r="272" spans="1:14" x14ac:dyDescent="0.35">
      <c r="A272" t="s">
        <v>317</v>
      </c>
      <c r="B272">
        <v>19</v>
      </c>
      <c r="C272" t="s">
        <v>39</v>
      </c>
      <c r="D272" t="s">
        <v>25</v>
      </c>
      <c r="E272">
        <v>8</v>
      </c>
      <c r="F272" t="s">
        <v>26</v>
      </c>
      <c r="G272">
        <v>3.9</v>
      </c>
      <c r="H272">
        <v>3.8</v>
      </c>
      <c r="I272">
        <f t="shared" si="4"/>
        <v>-0.10000000000000009</v>
      </c>
      <c r="J272">
        <v>14</v>
      </c>
      <c r="K272" t="s">
        <v>32</v>
      </c>
      <c r="L272">
        <v>9</v>
      </c>
      <c r="M272" t="s">
        <v>74</v>
      </c>
      <c r="N272" t="str">
        <f>IF(Table1[[#This Row],[Age]]&lt;20,"Teen",IF(Table1[[#This Row],[Age]]&lt;=22,"Young Adult","Adult"))</f>
        <v>Teen</v>
      </c>
    </row>
    <row r="273" spans="1:14" x14ac:dyDescent="0.35">
      <c r="A273" t="s">
        <v>318</v>
      </c>
      <c r="B273">
        <v>24</v>
      </c>
      <c r="C273" t="s">
        <v>39</v>
      </c>
      <c r="D273" t="s">
        <v>31</v>
      </c>
      <c r="E273">
        <v>6</v>
      </c>
      <c r="F273" t="s">
        <v>40</v>
      </c>
      <c r="G273">
        <v>2.6</v>
      </c>
      <c r="H273">
        <v>2.5</v>
      </c>
      <c r="I273">
        <f t="shared" si="4"/>
        <v>-0.10000000000000009</v>
      </c>
      <c r="J273">
        <v>15</v>
      </c>
      <c r="K273" t="s">
        <v>32</v>
      </c>
      <c r="L273">
        <v>10</v>
      </c>
      <c r="M273" t="s">
        <v>64</v>
      </c>
      <c r="N273" t="str">
        <f>IF(Table1[[#This Row],[Age]]&lt;20,"Teen",IF(Table1[[#This Row],[Age]]&lt;=22,"Young Adult","Adult"))</f>
        <v>Adult</v>
      </c>
    </row>
    <row r="274" spans="1:14" x14ac:dyDescent="0.35">
      <c r="A274" t="s">
        <v>319</v>
      </c>
      <c r="B274">
        <v>25</v>
      </c>
      <c r="C274" t="s">
        <v>19</v>
      </c>
      <c r="D274" t="s">
        <v>25</v>
      </c>
      <c r="E274">
        <v>8</v>
      </c>
      <c r="F274" t="s">
        <v>21</v>
      </c>
      <c r="G274">
        <v>3.24</v>
      </c>
      <c r="H274">
        <v>3.24</v>
      </c>
      <c r="I274">
        <f t="shared" si="4"/>
        <v>0</v>
      </c>
      <c r="J274">
        <v>8</v>
      </c>
      <c r="K274" t="s">
        <v>32</v>
      </c>
      <c r="L274">
        <v>9</v>
      </c>
      <c r="M274" t="s">
        <v>22</v>
      </c>
      <c r="N274" t="str">
        <f>IF(Table1[[#This Row],[Age]]&lt;20,"Teen",IF(Table1[[#This Row],[Age]]&lt;=22,"Young Adult","Adult"))</f>
        <v>Adult</v>
      </c>
    </row>
    <row r="275" spans="1:14" x14ac:dyDescent="0.35">
      <c r="A275" t="s">
        <v>320</v>
      </c>
      <c r="B275">
        <v>21</v>
      </c>
      <c r="C275" t="s">
        <v>39</v>
      </c>
      <c r="D275" t="s">
        <v>25</v>
      </c>
      <c r="E275">
        <v>2</v>
      </c>
      <c r="F275" t="s">
        <v>26</v>
      </c>
      <c r="G275">
        <v>3.41</v>
      </c>
      <c r="H275">
        <v>3.51</v>
      </c>
      <c r="I275">
        <f t="shared" si="4"/>
        <v>9.9999999999999645E-2</v>
      </c>
      <c r="J275">
        <v>5</v>
      </c>
      <c r="K275" t="s">
        <v>32</v>
      </c>
      <c r="L275">
        <v>8</v>
      </c>
      <c r="M275" t="s">
        <v>60</v>
      </c>
      <c r="N275" t="str">
        <f>IF(Table1[[#This Row],[Age]]&lt;20,"Teen",IF(Table1[[#This Row],[Age]]&lt;=22,"Young Adult","Adult"))</f>
        <v>Young Adult</v>
      </c>
    </row>
    <row r="276" spans="1:14" x14ac:dyDescent="0.35">
      <c r="A276" t="s">
        <v>321</v>
      </c>
      <c r="B276">
        <v>18</v>
      </c>
      <c r="C276" t="s">
        <v>13</v>
      </c>
      <c r="D276" t="s">
        <v>14</v>
      </c>
      <c r="E276">
        <v>2</v>
      </c>
      <c r="F276" t="s">
        <v>21</v>
      </c>
      <c r="G276">
        <v>2.54</v>
      </c>
      <c r="H276">
        <v>2.74</v>
      </c>
      <c r="I276">
        <f t="shared" si="4"/>
        <v>0.20000000000000018</v>
      </c>
      <c r="J276">
        <v>11</v>
      </c>
      <c r="K276" t="s">
        <v>32</v>
      </c>
      <c r="L276">
        <v>5</v>
      </c>
      <c r="M276" t="s">
        <v>28</v>
      </c>
      <c r="N276" t="str">
        <f>IF(Table1[[#This Row],[Age]]&lt;20,"Teen",IF(Table1[[#This Row],[Age]]&lt;=22,"Young Adult","Adult"))</f>
        <v>Teen</v>
      </c>
    </row>
    <row r="277" spans="1:14" x14ac:dyDescent="0.35">
      <c r="A277" t="s">
        <v>322</v>
      </c>
      <c r="B277">
        <v>23</v>
      </c>
      <c r="C277" t="s">
        <v>42</v>
      </c>
      <c r="D277" t="s">
        <v>31</v>
      </c>
      <c r="E277">
        <v>7</v>
      </c>
      <c r="F277" t="s">
        <v>40</v>
      </c>
      <c r="G277">
        <v>2.76</v>
      </c>
      <c r="H277">
        <v>2.76</v>
      </c>
      <c r="I277">
        <f t="shared" si="4"/>
        <v>0</v>
      </c>
      <c r="J277">
        <v>4</v>
      </c>
      <c r="K277" t="s">
        <v>27</v>
      </c>
      <c r="L277">
        <v>4</v>
      </c>
      <c r="M277" t="s">
        <v>28</v>
      </c>
      <c r="N277" t="str">
        <f>IF(Table1[[#This Row],[Age]]&lt;20,"Teen",IF(Table1[[#This Row],[Age]]&lt;=22,"Young Adult","Adult"))</f>
        <v>Adult</v>
      </c>
    </row>
    <row r="278" spans="1:14" x14ac:dyDescent="0.35">
      <c r="A278" t="s">
        <v>323</v>
      </c>
      <c r="B278">
        <v>25</v>
      </c>
      <c r="C278" t="s">
        <v>24</v>
      </c>
      <c r="D278" t="s">
        <v>31</v>
      </c>
      <c r="E278">
        <v>3</v>
      </c>
      <c r="F278" t="s">
        <v>21</v>
      </c>
      <c r="G278">
        <v>3.33</v>
      </c>
      <c r="H278">
        <v>3.23</v>
      </c>
      <c r="I278">
        <f t="shared" si="4"/>
        <v>-0.10000000000000009</v>
      </c>
      <c r="J278">
        <v>3</v>
      </c>
      <c r="K278" t="s">
        <v>32</v>
      </c>
      <c r="L278">
        <v>10</v>
      </c>
      <c r="M278" t="s">
        <v>48</v>
      </c>
      <c r="N278" t="str">
        <f>IF(Table1[[#This Row],[Age]]&lt;20,"Teen",IF(Table1[[#This Row],[Age]]&lt;=22,"Young Adult","Adult"))</f>
        <v>Adult</v>
      </c>
    </row>
    <row r="279" spans="1:14" x14ac:dyDescent="0.35">
      <c r="A279" t="s">
        <v>324</v>
      </c>
      <c r="B279">
        <v>25</v>
      </c>
      <c r="C279" t="s">
        <v>30</v>
      </c>
      <c r="D279" t="s">
        <v>25</v>
      </c>
      <c r="E279">
        <v>5</v>
      </c>
      <c r="F279" t="s">
        <v>15</v>
      </c>
      <c r="G279">
        <v>3.91</v>
      </c>
      <c r="H279">
        <v>3.81</v>
      </c>
      <c r="I279">
        <f t="shared" si="4"/>
        <v>-0.10000000000000009</v>
      </c>
      <c r="J279">
        <v>10</v>
      </c>
      <c r="K279" t="s">
        <v>32</v>
      </c>
      <c r="L279">
        <v>5</v>
      </c>
      <c r="M279" t="s">
        <v>28</v>
      </c>
      <c r="N279" t="str">
        <f>IF(Table1[[#This Row],[Age]]&lt;20,"Teen",IF(Table1[[#This Row],[Age]]&lt;=22,"Young Adult","Adult"))</f>
        <v>Adult</v>
      </c>
    </row>
    <row r="280" spans="1:14" x14ac:dyDescent="0.35">
      <c r="A280" t="s">
        <v>325</v>
      </c>
      <c r="B280">
        <v>21</v>
      </c>
      <c r="C280" t="s">
        <v>42</v>
      </c>
      <c r="D280" t="s">
        <v>25</v>
      </c>
      <c r="E280">
        <v>6</v>
      </c>
      <c r="F280" t="s">
        <v>26</v>
      </c>
      <c r="G280">
        <v>3.82</v>
      </c>
      <c r="H280">
        <v>4</v>
      </c>
      <c r="I280">
        <f t="shared" si="4"/>
        <v>0.18000000000000016</v>
      </c>
      <c r="J280">
        <v>9</v>
      </c>
      <c r="K280" t="s">
        <v>32</v>
      </c>
      <c r="L280">
        <v>4</v>
      </c>
      <c r="M280" t="s">
        <v>52</v>
      </c>
      <c r="N280" t="str">
        <f>IF(Table1[[#This Row],[Age]]&lt;20,"Teen",IF(Table1[[#This Row],[Age]]&lt;=22,"Young Adult","Adult"))</f>
        <v>Young Adult</v>
      </c>
    </row>
    <row r="281" spans="1:14" x14ac:dyDescent="0.35">
      <c r="A281" t="s">
        <v>326</v>
      </c>
      <c r="B281">
        <v>24</v>
      </c>
      <c r="C281" t="s">
        <v>24</v>
      </c>
      <c r="D281" t="s">
        <v>34</v>
      </c>
      <c r="E281">
        <v>8</v>
      </c>
      <c r="F281" t="s">
        <v>26</v>
      </c>
      <c r="G281">
        <v>2.72</v>
      </c>
      <c r="H281">
        <v>3.02</v>
      </c>
      <c r="I281">
        <f t="shared" si="4"/>
        <v>0.29999999999999982</v>
      </c>
      <c r="J281">
        <v>9</v>
      </c>
      <c r="K281" t="s">
        <v>16</v>
      </c>
      <c r="L281">
        <v>8</v>
      </c>
      <c r="M281" t="s">
        <v>17</v>
      </c>
      <c r="N281" t="str">
        <f>IF(Table1[[#This Row],[Age]]&lt;20,"Teen",IF(Table1[[#This Row],[Age]]&lt;=22,"Young Adult","Adult"))</f>
        <v>Adult</v>
      </c>
    </row>
    <row r="282" spans="1:14" x14ac:dyDescent="0.35">
      <c r="A282" t="s">
        <v>327</v>
      </c>
      <c r="B282">
        <v>18</v>
      </c>
      <c r="C282" t="s">
        <v>42</v>
      </c>
      <c r="D282" t="s">
        <v>25</v>
      </c>
      <c r="E282">
        <v>10</v>
      </c>
      <c r="F282" t="s">
        <v>21</v>
      </c>
      <c r="G282">
        <v>2.87</v>
      </c>
      <c r="H282">
        <v>3.07</v>
      </c>
      <c r="I282">
        <f t="shared" si="4"/>
        <v>0.19999999999999973</v>
      </c>
      <c r="J282">
        <v>14</v>
      </c>
      <c r="K282" t="s">
        <v>27</v>
      </c>
      <c r="L282">
        <v>6</v>
      </c>
      <c r="M282" t="s">
        <v>22</v>
      </c>
      <c r="N282" t="str">
        <f>IF(Table1[[#This Row],[Age]]&lt;20,"Teen",IF(Table1[[#This Row],[Age]]&lt;=22,"Young Adult","Adult"))</f>
        <v>Teen</v>
      </c>
    </row>
    <row r="283" spans="1:14" x14ac:dyDescent="0.35">
      <c r="A283" t="s">
        <v>328</v>
      </c>
      <c r="B283">
        <v>21</v>
      </c>
      <c r="C283" t="s">
        <v>42</v>
      </c>
      <c r="D283" t="s">
        <v>25</v>
      </c>
      <c r="E283">
        <v>8</v>
      </c>
      <c r="F283" t="s">
        <v>40</v>
      </c>
      <c r="G283">
        <v>3.15</v>
      </c>
      <c r="H283">
        <v>3.35</v>
      </c>
      <c r="I283">
        <f t="shared" si="4"/>
        <v>0.20000000000000018</v>
      </c>
      <c r="J283">
        <v>13</v>
      </c>
      <c r="K283" t="s">
        <v>32</v>
      </c>
      <c r="L283">
        <v>2</v>
      </c>
      <c r="M283" t="s">
        <v>45</v>
      </c>
      <c r="N283" t="str">
        <f>IF(Table1[[#This Row],[Age]]&lt;20,"Teen",IF(Table1[[#This Row],[Age]]&lt;=22,"Young Adult","Adult"))</f>
        <v>Young Adult</v>
      </c>
    </row>
    <row r="284" spans="1:14" x14ac:dyDescent="0.35">
      <c r="A284" t="s">
        <v>329</v>
      </c>
      <c r="B284">
        <v>21</v>
      </c>
      <c r="C284" t="s">
        <v>24</v>
      </c>
      <c r="D284" t="s">
        <v>20</v>
      </c>
      <c r="E284">
        <v>9</v>
      </c>
      <c r="F284" t="s">
        <v>15</v>
      </c>
      <c r="G284">
        <v>3.19</v>
      </c>
      <c r="H284">
        <v>3.29</v>
      </c>
      <c r="I284">
        <f t="shared" si="4"/>
        <v>0.10000000000000009</v>
      </c>
      <c r="J284">
        <v>5</v>
      </c>
      <c r="K284" t="s">
        <v>16</v>
      </c>
      <c r="L284">
        <v>9</v>
      </c>
      <c r="M284" t="s">
        <v>48</v>
      </c>
      <c r="N284" t="str">
        <f>IF(Table1[[#This Row],[Age]]&lt;20,"Teen",IF(Table1[[#This Row],[Age]]&lt;=22,"Young Adult","Adult"))</f>
        <v>Young Adult</v>
      </c>
    </row>
    <row r="285" spans="1:14" x14ac:dyDescent="0.35">
      <c r="A285" t="s">
        <v>330</v>
      </c>
      <c r="B285">
        <v>20</v>
      </c>
      <c r="C285" t="s">
        <v>42</v>
      </c>
      <c r="D285" t="s">
        <v>20</v>
      </c>
      <c r="E285">
        <v>3</v>
      </c>
      <c r="F285" t="s">
        <v>21</v>
      </c>
      <c r="G285">
        <v>2.66</v>
      </c>
      <c r="H285">
        <v>2.96</v>
      </c>
      <c r="I285">
        <f t="shared" si="4"/>
        <v>0.29999999999999982</v>
      </c>
      <c r="J285">
        <v>9</v>
      </c>
      <c r="K285" t="s">
        <v>27</v>
      </c>
      <c r="L285">
        <v>7</v>
      </c>
      <c r="M285" t="s">
        <v>50</v>
      </c>
      <c r="N285" t="str">
        <f>IF(Table1[[#This Row],[Age]]&lt;20,"Teen",IF(Table1[[#This Row],[Age]]&lt;=22,"Young Adult","Adult"))</f>
        <v>Young Adult</v>
      </c>
    </row>
    <row r="286" spans="1:14" x14ac:dyDescent="0.35">
      <c r="A286" t="s">
        <v>331</v>
      </c>
      <c r="B286">
        <v>21</v>
      </c>
      <c r="C286" t="s">
        <v>42</v>
      </c>
      <c r="D286" t="s">
        <v>25</v>
      </c>
      <c r="E286">
        <v>1</v>
      </c>
      <c r="F286" t="s">
        <v>21</v>
      </c>
      <c r="G286">
        <v>3.98</v>
      </c>
      <c r="H286">
        <v>3.98</v>
      </c>
      <c r="I286">
        <f t="shared" si="4"/>
        <v>0</v>
      </c>
      <c r="J286">
        <v>2</v>
      </c>
      <c r="K286" t="s">
        <v>27</v>
      </c>
      <c r="L286">
        <v>7</v>
      </c>
      <c r="M286" t="s">
        <v>74</v>
      </c>
      <c r="N286" t="str">
        <f>IF(Table1[[#This Row],[Age]]&lt;20,"Teen",IF(Table1[[#This Row],[Age]]&lt;=22,"Young Adult","Adult"))</f>
        <v>Young Adult</v>
      </c>
    </row>
    <row r="287" spans="1:14" x14ac:dyDescent="0.35">
      <c r="A287" t="s">
        <v>332</v>
      </c>
      <c r="B287">
        <v>19</v>
      </c>
      <c r="C287" t="s">
        <v>24</v>
      </c>
      <c r="D287" t="s">
        <v>31</v>
      </c>
      <c r="E287">
        <v>6</v>
      </c>
      <c r="F287" t="s">
        <v>40</v>
      </c>
      <c r="G287">
        <v>3.53</v>
      </c>
      <c r="H287">
        <v>3.53</v>
      </c>
      <c r="I287">
        <f t="shared" si="4"/>
        <v>0</v>
      </c>
      <c r="J287">
        <v>11</v>
      </c>
      <c r="K287" t="s">
        <v>32</v>
      </c>
      <c r="L287">
        <v>2</v>
      </c>
      <c r="M287" t="s">
        <v>50</v>
      </c>
      <c r="N287" t="str">
        <f>IF(Table1[[#This Row],[Age]]&lt;20,"Teen",IF(Table1[[#This Row],[Age]]&lt;=22,"Young Adult","Adult"))</f>
        <v>Teen</v>
      </c>
    </row>
    <row r="288" spans="1:14" x14ac:dyDescent="0.35">
      <c r="A288" t="s">
        <v>333</v>
      </c>
      <c r="B288">
        <v>18</v>
      </c>
      <c r="C288" t="s">
        <v>13</v>
      </c>
      <c r="D288" t="s">
        <v>25</v>
      </c>
      <c r="E288">
        <v>9</v>
      </c>
      <c r="F288" t="s">
        <v>15</v>
      </c>
      <c r="G288">
        <v>3.49</v>
      </c>
      <c r="H288">
        <v>3.49</v>
      </c>
      <c r="I288">
        <f t="shared" si="4"/>
        <v>0</v>
      </c>
      <c r="J288">
        <v>4</v>
      </c>
      <c r="K288" t="s">
        <v>32</v>
      </c>
      <c r="L288">
        <v>7</v>
      </c>
      <c r="M288" t="s">
        <v>87</v>
      </c>
      <c r="N288" t="str">
        <f>IF(Table1[[#This Row],[Age]]&lt;20,"Teen",IF(Table1[[#This Row],[Age]]&lt;=22,"Young Adult","Adult"))</f>
        <v>Teen</v>
      </c>
    </row>
    <row r="289" spans="1:14" x14ac:dyDescent="0.35">
      <c r="A289" t="s">
        <v>334</v>
      </c>
      <c r="B289">
        <v>25</v>
      </c>
      <c r="C289" t="s">
        <v>30</v>
      </c>
      <c r="D289" t="s">
        <v>14</v>
      </c>
      <c r="E289">
        <v>1</v>
      </c>
      <c r="F289" t="s">
        <v>56</v>
      </c>
      <c r="G289">
        <v>2.72</v>
      </c>
      <c r="H289">
        <v>2.92</v>
      </c>
      <c r="I289">
        <f t="shared" si="4"/>
        <v>0.19999999999999973</v>
      </c>
      <c r="J289">
        <v>4</v>
      </c>
      <c r="K289" t="s">
        <v>27</v>
      </c>
      <c r="L289">
        <v>7</v>
      </c>
      <c r="M289" t="s">
        <v>37</v>
      </c>
      <c r="N289" t="str">
        <f>IF(Table1[[#This Row],[Age]]&lt;20,"Teen",IF(Table1[[#This Row],[Age]]&lt;=22,"Young Adult","Adult"))</f>
        <v>Adult</v>
      </c>
    </row>
    <row r="290" spans="1:14" x14ac:dyDescent="0.35">
      <c r="A290" t="s">
        <v>335</v>
      </c>
      <c r="B290">
        <v>25</v>
      </c>
      <c r="C290" t="s">
        <v>19</v>
      </c>
      <c r="D290" t="s">
        <v>34</v>
      </c>
      <c r="E290">
        <v>10</v>
      </c>
      <c r="F290" t="s">
        <v>21</v>
      </c>
      <c r="G290">
        <v>3.41</v>
      </c>
      <c r="H290">
        <v>3.51</v>
      </c>
      <c r="I290">
        <f t="shared" si="4"/>
        <v>9.9999999999999645E-2</v>
      </c>
      <c r="J290">
        <v>4</v>
      </c>
      <c r="K290" t="s">
        <v>27</v>
      </c>
      <c r="L290">
        <v>4</v>
      </c>
      <c r="M290" t="s">
        <v>37</v>
      </c>
      <c r="N290" t="str">
        <f>IF(Table1[[#This Row],[Age]]&lt;20,"Teen",IF(Table1[[#This Row],[Age]]&lt;=22,"Young Adult","Adult"))</f>
        <v>Adult</v>
      </c>
    </row>
    <row r="291" spans="1:14" x14ac:dyDescent="0.35">
      <c r="A291" t="s">
        <v>336</v>
      </c>
      <c r="B291">
        <v>21</v>
      </c>
      <c r="C291" t="s">
        <v>19</v>
      </c>
      <c r="D291" t="s">
        <v>31</v>
      </c>
      <c r="E291">
        <v>5</v>
      </c>
      <c r="F291" t="s">
        <v>15</v>
      </c>
      <c r="G291">
        <v>2.72</v>
      </c>
      <c r="H291">
        <v>2.82</v>
      </c>
      <c r="I291">
        <f t="shared" si="4"/>
        <v>9.9999999999999645E-2</v>
      </c>
      <c r="J291">
        <v>2</v>
      </c>
      <c r="K291" t="s">
        <v>16</v>
      </c>
      <c r="L291">
        <v>6</v>
      </c>
      <c r="M291" t="s">
        <v>52</v>
      </c>
      <c r="N291" t="str">
        <f>IF(Table1[[#This Row],[Age]]&lt;20,"Teen",IF(Table1[[#This Row],[Age]]&lt;=22,"Young Adult","Adult"))</f>
        <v>Young Adult</v>
      </c>
    </row>
    <row r="292" spans="1:14" x14ac:dyDescent="0.35">
      <c r="A292" t="s">
        <v>337</v>
      </c>
      <c r="B292">
        <v>18</v>
      </c>
      <c r="C292" t="s">
        <v>13</v>
      </c>
      <c r="D292" t="s">
        <v>31</v>
      </c>
      <c r="E292">
        <v>4</v>
      </c>
      <c r="F292" t="s">
        <v>26</v>
      </c>
      <c r="G292">
        <v>3.1</v>
      </c>
      <c r="H292">
        <v>3.4</v>
      </c>
      <c r="I292">
        <f t="shared" si="4"/>
        <v>0.29999999999999982</v>
      </c>
      <c r="J292">
        <v>2</v>
      </c>
      <c r="K292" t="s">
        <v>16</v>
      </c>
      <c r="L292">
        <v>5</v>
      </c>
      <c r="M292" t="s">
        <v>74</v>
      </c>
      <c r="N292" t="str">
        <f>IF(Table1[[#This Row],[Age]]&lt;20,"Teen",IF(Table1[[#This Row],[Age]]&lt;=22,"Young Adult","Adult"))</f>
        <v>Teen</v>
      </c>
    </row>
    <row r="293" spans="1:14" x14ac:dyDescent="0.35">
      <c r="A293" t="s">
        <v>338</v>
      </c>
      <c r="B293">
        <v>25</v>
      </c>
      <c r="C293" t="s">
        <v>42</v>
      </c>
      <c r="D293" t="s">
        <v>34</v>
      </c>
      <c r="E293">
        <v>2</v>
      </c>
      <c r="F293" t="s">
        <v>15</v>
      </c>
      <c r="G293">
        <v>2.69</v>
      </c>
      <c r="H293">
        <v>2.69</v>
      </c>
      <c r="I293">
        <f t="shared" si="4"/>
        <v>0</v>
      </c>
      <c r="J293">
        <v>10</v>
      </c>
      <c r="K293" t="s">
        <v>32</v>
      </c>
      <c r="L293">
        <v>6</v>
      </c>
      <c r="M293" t="s">
        <v>52</v>
      </c>
      <c r="N293" t="str">
        <f>IF(Table1[[#This Row],[Age]]&lt;20,"Teen",IF(Table1[[#This Row],[Age]]&lt;=22,"Young Adult","Adult"))</f>
        <v>Adult</v>
      </c>
    </row>
    <row r="294" spans="1:14" x14ac:dyDescent="0.35">
      <c r="A294" t="s">
        <v>339</v>
      </c>
      <c r="B294">
        <v>21</v>
      </c>
      <c r="C294" t="s">
        <v>42</v>
      </c>
      <c r="D294" t="s">
        <v>20</v>
      </c>
      <c r="E294">
        <v>1</v>
      </c>
      <c r="F294" t="s">
        <v>21</v>
      </c>
      <c r="G294">
        <v>2.62</v>
      </c>
      <c r="H294">
        <v>2.62</v>
      </c>
      <c r="I294">
        <f t="shared" si="4"/>
        <v>0</v>
      </c>
      <c r="J294">
        <v>12</v>
      </c>
      <c r="K294" t="s">
        <v>16</v>
      </c>
      <c r="L294">
        <v>6</v>
      </c>
      <c r="M294" t="s">
        <v>28</v>
      </c>
      <c r="N294" t="str">
        <f>IF(Table1[[#This Row],[Age]]&lt;20,"Teen",IF(Table1[[#This Row],[Age]]&lt;=22,"Young Adult","Adult"))</f>
        <v>Young Adult</v>
      </c>
    </row>
    <row r="295" spans="1:14" x14ac:dyDescent="0.35">
      <c r="A295" t="s">
        <v>340</v>
      </c>
      <c r="B295">
        <v>22</v>
      </c>
      <c r="C295" t="s">
        <v>24</v>
      </c>
      <c r="D295" t="s">
        <v>34</v>
      </c>
      <c r="E295">
        <v>5</v>
      </c>
      <c r="F295" t="s">
        <v>15</v>
      </c>
      <c r="G295">
        <v>3.94</v>
      </c>
      <c r="H295">
        <v>3.84</v>
      </c>
      <c r="I295">
        <f t="shared" si="4"/>
        <v>-0.10000000000000009</v>
      </c>
      <c r="J295">
        <v>9</v>
      </c>
      <c r="K295" t="s">
        <v>32</v>
      </c>
      <c r="L295">
        <v>2</v>
      </c>
      <c r="M295" t="s">
        <v>28</v>
      </c>
      <c r="N295" t="str">
        <f>IF(Table1[[#This Row],[Age]]&lt;20,"Teen",IF(Table1[[#This Row],[Age]]&lt;=22,"Young Adult","Adult"))</f>
        <v>Young Adult</v>
      </c>
    </row>
    <row r="296" spans="1:14" x14ac:dyDescent="0.35">
      <c r="A296" t="s">
        <v>341</v>
      </c>
      <c r="B296">
        <v>19</v>
      </c>
      <c r="C296" t="s">
        <v>24</v>
      </c>
      <c r="D296" t="s">
        <v>14</v>
      </c>
      <c r="E296">
        <v>5</v>
      </c>
      <c r="F296" t="s">
        <v>40</v>
      </c>
      <c r="G296">
        <v>3.63</v>
      </c>
      <c r="H296">
        <v>3.63</v>
      </c>
      <c r="I296">
        <f t="shared" si="4"/>
        <v>0</v>
      </c>
      <c r="J296">
        <v>9</v>
      </c>
      <c r="K296" t="s">
        <v>16</v>
      </c>
      <c r="L296">
        <v>8</v>
      </c>
      <c r="M296" t="s">
        <v>87</v>
      </c>
      <c r="N296" t="str">
        <f>IF(Table1[[#This Row],[Age]]&lt;20,"Teen",IF(Table1[[#This Row],[Age]]&lt;=22,"Young Adult","Adult"))</f>
        <v>Teen</v>
      </c>
    </row>
    <row r="297" spans="1:14" x14ac:dyDescent="0.35">
      <c r="A297" t="s">
        <v>342</v>
      </c>
      <c r="B297">
        <v>24</v>
      </c>
      <c r="C297" t="s">
        <v>42</v>
      </c>
      <c r="D297" t="s">
        <v>20</v>
      </c>
      <c r="E297">
        <v>7</v>
      </c>
      <c r="F297" t="s">
        <v>56</v>
      </c>
      <c r="G297">
        <v>2.85</v>
      </c>
      <c r="H297">
        <v>2.95</v>
      </c>
      <c r="I297">
        <f t="shared" si="4"/>
        <v>0.10000000000000009</v>
      </c>
      <c r="J297">
        <v>2</v>
      </c>
      <c r="K297" t="s">
        <v>32</v>
      </c>
      <c r="L297">
        <v>5</v>
      </c>
      <c r="M297" t="s">
        <v>64</v>
      </c>
      <c r="N297" t="str">
        <f>IF(Table1[[#This Row],[Age]]&lt;20,"Teen",IF(Table1[[#This Row],[Age]]&lt;=22,"Young Adult","Adult"))</f>
        <v>Adult</v>
      </c>
    </row>
    <row r="298" spans="1:14" x14ac:dyDescent="0.35">
      <c r="A298" t="s">
        <v>343</v>
      </c>
      <c r="B298">
        <v>20</v>
      </c>
      <c r="C298" t="s">
        <v>39</v>
      </c>
      <c r="D298" t="s">
        <v>31</v>
      </c>
      <c r="E298">
        <v>7</v>
      </c>
      <c r="F298" t="s">
        <v>40</v>
      </c>
      <c r="G298">
        <v>2.56</v>
      </c>
      <c r="H298">
        <v>2.46</v>
      </c>
      <c r="I298">
        <f t="shared" si="4"/>
        <v>-0.10000000000000009</v>
      </c>
      <c r="J298">
        <v>9</v>
      </c>
      <c r="K298" t="s">
        <v>32</v>
      </c>
      <c r="L298">
        <v>1</v>
      </c>
      <c r="M298" t="s">
        <v>100</v>
      </c>
      <c r="N298" t="str">
        <f>IF(Table1[[#This Row],[Age]]&lt;20,"Teen",IF(Table1[[#This Row],[Age]]&lt;=22,"Young Adult","Adult"))</f>
        <v>Young Adult</v>
      </c>
    </row>
    <row r="299" spans="1:14" x14ac:dyDescent="0.35">
      <c r="A299" t="s">
        <v>344</v>
      </c>
      <c r="B299">
        <v>19</v>
      </c>
      <c r="C299" t="s">
        <v>24</v>
      </c>
      <c r="D299" t="s">
        <v>14</v>
      </c>
      <c r="E299">
        <v>4</v>
      </c>
      <c r="F299" t="s">
        <v>15</v>
      </c>
      <c r="G299">
        <v>3.22</v>
      </c>
      <c r="H299">
        <v>3.22</v>
      </c>
      <c r="I299">
        <f t="shared" si="4"/>
        <v>0</v>
      </c>
      <c r="J299">
        <v>10</v>
      </c>
      <c r="K299" t="s">
        <v>27</v>
      </c>
      <c r="L299">
        <v>3</v>
      </c>
      <c r="M299" t="s">
        <v>43</v>
      </c>
      <c r="N299" t="str">
        <f>IF(Table1[[#This Row],[Age]]&lt;20,"Teen",IF(Table1[[#This Row],[Age]]&lt;=22,"Young Adult","Adult"))</f>
        <v>Teen</v>
      </c>
    </row>
    <row r="300" spans="1:14" x14ac:dyDescent="0.35">
      <c r="A300" t="s">
        <v>345</v>
      </c>
      <c r="B300">
        <v>23</v>
      </c>
      <c r="C300" t="s">
        <v>13</v>
      </c>
      <c r="D300" t="s">
        <v>20</v>
      </c>
      <c r="E300">
        <v>2</v>
      </c>
      <c r="F300" t="s">
        <v>15</v>
      </c>
      <c r="G300">
        <v>3.11</v>
      </c>
      <c r="H300">
        <v>3.41</v>
      </c>
      <c r="I300">
        <f t="shared" si="4"/>
        <v>0.30000000000000027</v>
      </c>
      <c r="J300">
        <v>10</v>
      </c>
      <c r="K300" t="s">
        <v>27</v>
      </c>
      <c r="L300">
        <v>4</v>
      </c>
      <c r="M300" t="s">
        <v>37</v>
      </c>
      <c r="N300" t="str">
        <f>IF(Table1[[#This Row],[Age]]&lt;20,"Teen",IF(Table1[[#This Row],[Age]]&lt;=22,"Young Adult","Adult"))</f>
        <v>Adult</v>
      </c>
    </row>
    <row r="301" spans="1:14" x14ac:dyDescent="0.35">
      <c r="A301" t="s">
        <v>346</v>
      </c>
      <c r="B301">
        <v>20</v>
      </c>
      <c r="C301" t="s">
        <v>42</v>
      </c>
      <c r="D301" t="s">
        <v>14</v>
      </c>
      <c r="E301">
        <v>2</v>
      </c>
      <c r="F301" t="s">
        <v>40</v>
      </c>
      <c r="G301">
        <v>3.76</v>
      </c>
      <c r="H301">
        <v>3.66</v>
      </c>
      <c r="I301">
        <f t="shared" si="4"/>
        <v>-9.9999999999999645E-2</v>
      </c>
      <c r="J301">
        <v>7</v>
      </c>
      <c r="K301" t="s">
        <v>32</v>
      </c>
      <c r="L301">
        <v>2</v>
      </c>
      <c r="M301" t="s">
        <v>100</v>
      </c>
      <c r="N301" t="str">
        <f>IF(Table1[[#This Row],[Age]]&lt;20,"Teen",IF(Table1[[#This Row],[Age]]&lt;=22,"Young Adult","Adult"))</f>
        <v>Young Adult</v>
      </c>
    </row>
    <row r="302" spans="1:14" x14ac:dyDescent="0.35">
      <c r="A302" t="s">
        <v>347</v>
      </c>
      <c r="B302">
        <v>18</v>
      </c>
      <c r="C302" t="s">
        <v>30</v>
      </c>
      <c r="D302" t="s">
        <v>34</v>
      </c>
      <c r="E302">
        <v>4</v>
      </c>
      <c r="F302" t="s">
        <v>21</v>
      </c>
      <c r="G302">
        <v>3.48</v>
      </c>
      <c r="H302">
        <v>3.48</v>
      </c>
      <c r="I302">
        <f t="shared" si="4"/>
        <v>0</v>
      </c>
      <c r="J302">
        <v>10</v>
      </c>
      <c r="K302" t="s">
        <v>32</v>
      </c>
      <c r="L302">
        <v>3</v>
      </c>
      <c r="M302" t="s">
        <v>50</v>
      </c>
      <c r="N302" t="str">
        <f>IF(Table1[[#This Row],[Age]]&lt;20,"Teen",IF(Table1[[#This Row],[Age]]&lt;=22,"Young Adult","Adult"))</f>
        <v>Teen</v>
      </c>
    </row>
    <row r="303" spans="1:14" x14ac:dyDescent="0.35">
      <c r="A303" t="s">
        <v>348</v>
      </c>
      <c r="B303">
        <v>23</v>
      </c>
      <c r="C303" t="s">
        <v>19</v>
      </c>
      <c r="D303" t="s">
        <v>20</v>
      </c>
      <c r="E303">
        <v>1</v>
      </c>
      <c r="F303" t="s">
        <v>21</v>
      </c>
      <c r="G303">
        <v>4</v>
      </c>
      <c r="H303">
        <v>4</v>
      </c>
      <c r="I303">
        <f t="shared" si="4"/>
        <v>0</v>
      </c>
      <c r="J303">
        <v>10</v>
      </c>
      <c r="K303" t="s">
        <v>32</v>
      </c>
      <c r="L303">
        <v>4</v>
      </c>
      <c r="M303" t="s">
        <v>74</v>
      </c>
      <c r="N303" t="str">
        <f>IF(Table1[[#This Row],[Age]]&lt;20,"Teen",IF(Table1[[#This Row],[Age]]&lt;=22,"Young Adult","Adult"))</f>
        <v>Adult</v>
      </c>
    </row>
    <row r="304" spans="1:14" x14ac:dyDescent="0.35">
      <c r="A304" t="s">
        <v>349</v>
      </c>
      <c r="B304">
        <v>25</v>
      </c>
      <c r="C304" t="s">
        <v>30</v>
      </c>
      <c r="D304" t="s">
        <v>14</v>
      </c>
      <c r="E304">
        <v>8</v>
      </c>
      <c r="F304" t="s">
        <v>56</v>
      </c>
      <c r="G304">
        <v>3.33</v>
      </c>
      <c r="H304">
        <v>3.33</v>
      </c>
      <c r="I304">
        <f t="shared" si="4"/>
        <v>0</v>
      </c>
      <c r="J304">
        <v>7</v>
      </c>
      <c r="K304" t="s">
        <v>16</v>
      </c>
      <c r="L304">
        <v>4</v>
      </c>
      <c r="M304" t="s">
        <v>17</v>
      </c>
      <c r="N304" t="str">
        <f>IF(Table1[[#This Row],[Age]]&lt;20,"Teen",IF(Table1[[#This Row],[Age]]&lt;=22,"Young Adult","Adult"))</f>
        <v>Adult</v>
      </c>
    </row>
    <row r="305" spans="1:14" x14ac:dyDescent="0.35">
      <c r="A305" t="s">
        <v>350</v>
      </c>
      <c r="B305">
        <v>25</v>
      </c>
      <c r="C305" t="s">
        <v>39</v>
      </c>
      <c r="D305" t="s">
        <v>31</v>
      </c>
      <c r="E305">
        <v>10</v>
      </c>
      <c r="F305" t="s">
        <v>26</v>
      </c>
      <c r="G305">
        <v>2.56</v>
      </c>
      <c r="H305">
        <v>2.46</v>
      </c>
      <c r="I305">
        <f t="shared" si="4"/>
        <v>-0.10000000000000009</v>
      </c>
      <c r="J305">
        <v>11</v>
      </c>
      <c r="K305" t="s">
        <v>32</v>
      </c>
      <c r="L305">
        <v>6</v>
      </c>
      <c r="M305" t="s">
        <v>35</v>
      </c>
      <c r="N305" t="str">
        <f>IF(Table1[[#This Row],[Age]]&lt;20,"Teen",IF(Table1[[#This Row],[Age]]&lt;=22,"Young Adult","Adult"))</f>
        <v>Adult</v>
      </c>
    </row>
    <row r="306" spans="1:14" x14ac:dyDescent="0.35">
      <c r="A306" t="s">
        <v>351</v>
      </c>
      <c r="B306">
        <v>21</v>
      </c>
      <c r="C306" t="s">
        <v>19</v>
      </c>
      <c r="D306" t="s">
        <v>34</v>
      </c>
      <c r="E306">
        <v>9</v>
      </c>
      <c r="F306" t="s">
        <v>21</v>
      </c>
      <c r="G306">
        <v>3.82</v>
      </c>
      <c r="H306">
        <v>3.72</v>
      </c>
      <c r="I306">
        <f t="shared" si="4"/>
        <v>-9.9999999999999645E-2</v>
      </c>
      <c r="J306">
        <v>14</v>
      </c>
      <c r="K306" t="s">
        <v>16</v>
      </c>
      <c r="L306">
        <v>3</v>
      </c>
      <c r="M306" t="s">
        <v>64</v>
      </c>
      <c r="N306" t="str">
        <f>IF(Table1[[#This Row],[Age]]&lt;20,"Teen",IF(Table1[[#This Row],[Age]]&lt;=22,"Young Adult","Adult"))</f>
        <v>Young Adult</v>
      </c>
    </row>
    <row r="307" spans="1:14" x14ac:dyDescent="0.35">
      <c r="A307" t="s">
        <v>352</v>
      </c>
      <c r="B307">
        <v>25</v>
      </c>
      <c r="C307" t="s">
        <v>39</v>
      </c>
      <c r="D307" t="s">
        <v>31</v>
      </c>
      <c r="E307">
        <v>8</v>
      </c>
      <c r="F307" t="s">
        <v>26</v>
      </c>
      <c r="G307">
        <v>3.08</v>
      </c>
      <c r="H307">
        <v>3.08</v>
      </c>
      <c r="I307">
        <f t="shared" si="4"/>
        <v>0</v>
      </c>
      <c r="J307">
        <v>7</v>
      </c>
      <c r="K307" t="s">
        <v>32</v>
      </c>
      <c r="L307">
        <v>5</v>
      </c>
      <c r="M307" t="s">
        <v>22</v>
      </c>
      <c r="N307" t="str">
        <f>IF(Table1[[#This Row],[Age]]&lt;20,"Teen",IF(Table1[[#This Row],[Age]]&lt;=22,"Young Adult","Adult"))</f>
        <v>Adult</v>
      </c>
    </row>
    <row r="308" spans="1:14" x14ac:dyDescent="0.35">
      <c r="A308" t="s">
        <v>353</v>
      </c>
      <c r="B308">
        <v>19</v>
      </c>
      <c r="C308" t="s">
        <v>24</v>
      </c>
      <c r="D308" t="s">
        <v>20</v>
      </c>
      <c r="E308">
        <v>10</v>
      </c>
      <c r="F308" t="s">
        <v>40</v>
      </c>
      <c r="G308">
        <v>3.13</v>
      </c>
      <c r="H308">
        <v>3.13</v>
      </c>
      <c r="I308">
        <f t="shared" si="4"/>
        <v>0</v>
      </c>
      <c r="J308">
        <v>8</v>
      </c>
      <c r="K308" t="s">
        <v>32</v>
      </c>
      <c r="L308">
        <v>1</v>
      </c>
      <c r="M308" t="s">
        <v>45</v>
      </c>
      <c r="N308" t="str">
        <f>IF(Table1[[#This Row],[Age]]&lt;20,"Teen",IF(Table1[[#This Row],[Age]]&lt;=22,"Young Adult","Adult"))</f>
        <v>Teen</v>
      </c>
    </row>
    <row r="309" spans="1:14" x14ac:dyDescent="0.35">
      <c r="A309" t="s">
        <v>354</v>
      </c>
      <c r="B309">
        <v>25</v>
      </c>
      <c r="C309" t="s">
        <v>39</v>
      </c>
      <c r="D309" t="s">
        <v>20</v>
      </c>
      <c r="E309">
        <v>2</v>
      </c>
      <c r="F309" t="s">
        <v>26</v>
      </c>
      <c r="G309">
        <v>3.5</v>
      </c>
      <c r="H309">
        <v>3.5</v>
      </c>
      <c r="I309">
        <f t="shared" si="4"/>
        <v>0</v>
      </c>
      <c r="J309">
        <v>3</v>
      </c>
      <c r="K309" t="s">
        <v>32</v>
      </c>
      <c r="L309">
        <v>5</v>
      </c>
      <c r="M309" t="s">
        <v>100</v>
      </c>
      <c r="N309" t="str">
        <f>IF(Table1[[#This Row],[Age]]&lt;20,"Teen",IF(Table1[[#This Row],[Age]]&lt;=22,"Young Adult","Adult"))</f>
        <v>Adult</v>
      </c>
    </row>
    <row r="310" spans="1:14" x14ac:dyDescent="0.35">
      <c r="A310" t="s">
        <v>355</v>
      </c>
      <c r="B310">
        <v>19</v>
      </c>
      <c r="C310" t="s">
        <v>19</v>
      </c>
      <c r="D310" t="s">
        <v>14</v>
      </c>
      <c r="E310">
        <v>1</v>
      </c>
      <c r="F310" t="s">
        <v>15</v>
      </c>
      <c r="G310">
        <v>3.16</v>
      </c>
      <c r="H310">
        <v>3.36</v>
      </c>
      <c r="I310">
        <f t="shared" si="4"/>
        <v>0.19999999999999973</v>
      </c>
      <c r="J310">
        <v>12</v>
      </c>
      <c r="K310" t="s">
        <v>32</v>
      </c>
      <c r="L310">
        <v>3</v>
      </c>
      <c r="M310" t="s">
        <v>43</v>
      </c>
      <c r="N310" t="str">
        <f>IF(Table1[[#This Row],[Age]]&lt;20,"Teen",IF(Table1[[#This Row],[Age]]&lt;=22,"Young Adult","Adult"))</f>
        <v>Teen</v>
      </c>
    </row>
    <row r="311" spans="1:14" x14ac:dyDescent="0.35">
      <c r="A311" t="s">
        <v>356</v>
      </c>
      <c r="B311">
        <v>19</v>
      </c>
      <c r="C311" t="s">
        <v>42</v>
      </c>
      <c r="D311" t="s">
        <v>31</v>
      </c>
      <c r="E311">
        <v>3</v>
      </c>
      <c r="F311" t="s">
        <v>40</v>
      </c>
      <c r="G311">
        <v>3.78</v>
      </c>
      <c r="H311">
        <v>3.98</v>
      </c>
      <c r="I311">
        <f t="shared" si="4"/>
        <v>0.20000000000000018</v>
      </c>
      <c r="J311">
        <v>3</v>
      </c>
      <c r="K311" t="s">
        <v>16</v>
      </c>
      <c r="L311">
        <v>8</v>
      </c>
      <c r="M311" t="s">
        <v>64</v>
      </c>
      <c r="N311" t="str">
        <f>IF(Table1[[#This Row],[Age]]&lt;20,"Teen",IF(Table1[[#This Row],[Age]]&lt;=22,"Young Adult","Adult"))</f>
        <v>Teen</v>
      </c>
    </row>
    <row r="312" spans="1:14" x14ac:dyDescent="0.35">
      <c r="A312" t="s">
        <v>357</v>
      </c>
      <c r="B312">
        <v>20</v>
      </c>
      <c r="C312" t="s">
        <v>24</v>
      </c>
      <c r="D312" t="s">
        <v>31</v>
      </c>
      <c r="E312">
        <v>2</v>
      </c>
      <c r="F312" t="s">
        <v>21</v>
      </c>
      <c r="G312">
        <v>3.15</v>
      </c>
      <c r="H312">
        <v>3.25</v>
      </c>
      <c r="I312">
        <f t="shared" si="4"/>
        <v>0.10000000000000009</v>
      </c>
      <c r="J312">
        <v>10</v>
      </c>
      <c r="K312" t="s">
        <v>16</v>
      </c>
      <c r="L312">
        <v>7</v>
      </c>
      <c r="M312" t="s">
        <v>60</v>
      </c>
      <c r="N312" t="str">
        <f>IF(Table1[[#This Row],[Age]]&lt;20,"Teen",IF(Table1[[#This Row],[Age]]&lt;=22,"Young Adult","Adult"))</f>
        <v>Young Adult</v>
      </c>
    </row>
    <row r="313" spans="1:14" x14ac:dyDescent="0.35">
      <c r="A313" t="s">
        <v>358</v>
      </c>
      <c r="B313">
        <v>19</v>
      </c>
      <c r="C313" t="s">
        <v>24</v>
      </c>
      <c r="D313" t="s">
        <v>34</v>
      </c>
      <c r="E313">
        <v>2</v>
      </c>
      <c r="F313" t="s">
        <v>21</v>
      </c>
      <c r="G313">
        <v>2.76</v>
      </c>
      <c r="H313">
        <v>3.06</v>
      </c>
      <c r="I313">
        <f t="shared" si="4"/>
        <v>0.30000000000000027</v>
      </c>
      <c r="J313">
        <v>12</v>
      </c>
      <c r="K313" t="s">
        <v>27</v>
      </c>
      <c r="L313">
        <v>4</v>
      </c>
      <c r="M313" t="s">
        <v>22</v>
      </c>
      <c r="N313" t="str">
        <f>IF(Table1[[#This Row],[Age]]&lt;20,"Teen",IF(Table1[[#This Row],[Age]]&lt;=22,"Young Adult","Adult"))</f>
        <v>Teen</v>
      </c>
    </row>
    <row r="314" spans="1:14" x14ac:dyDescent="0.35">
      <c r="A314" t="s">
        <v>359</v>
      </c>
      <c r="B314">
        <v>22</v>
      </c>
      <c r="C314" t="s">
        <v>30</v>
      </c>
      <c r="D314" t="s">
        <v>14</v>
      </c>
      <c r="E314">
        <v>2</v>
      </c>
      <c r="F314" t="s">
        <v>40</v>
      </c>
      <c r="G314">
        <v>3.92</v>
      </c>
      <c r="H314">
        <v>3.82</v>
      </c>
      <c r="I314">
        <f t="shared" si="4"/>
        <v>-0.10000000000000009</v>
      </c>
      <c r="J314">
        <v>6</v>
      </c>
      <c r="K314" t="s">
        <v>32</v>
      </c>
      <c r="L314">
        <v>9</v>
      </c>
      <c r="M314" t="s">
        <v>48</v>
      </c>
      <c r="N314" t="str">
        <f>IF(Table1[[#This Row],[Age]]&lt;20,"Teen",IF(Table1[[#This Row],[Age]]&lt;=22,"Young Adult","Adult"))</f>
        <v>Young Adult</v>
      </c>
    </row>
    <row r="315" spans="1:14" x14ac:dyDescent="0.35">
      <c r="A315" t="s">
        <v>360</v>
      </c>
      <c r="B315">
        <v>22</v>
      </c>
      <c r="C315" t="s">
        <v>42</v>
      </c>
      <c r="D315" t="s">
        <v>34</v>
      </c>
      <c r="E315">
        <v>5</v>
      </c>
      <c r="F315" t="s">
        <v>26</v>
      </c>
      <c r="G315">
        <v>3.89</v>
      </c>
      <c r="H315">
        <v>3.79</v>
      </c>
      <c r="I315">
        <f t="shared" si="4"/>
        <v>-0.10000000000000009</v>
      </c>
      <c r="J315">
        <v>2</v>
      </c>
      <c r="K315" t="s">
        <v>27</v>
      </c>
      <c r="L315">
        <v>4</v>
      </c>
      <c r="M315" t="s">
        <v>35</v>
      </c>
      <c r="N315" t="str">
        <f>IF(Table1[[#This Row],[Age]]&lt;20,"Teen",IF(Table1[[#This Row],[Age]]&lt;=22,"Young Adult","Adult"))</f>
        <v>Young Adult</v>
      </c>
    </row>
    <row r="316" spans="1:14" x14ac:dyDescent="0.35">
      <c r="A316" t="s">
        <v>361</v>
      </c>
      <c r="B316">
        <v>18</v>
      </c>
      <c r="C316" t="s">
        <v>13</v>
      </c>
      <c r="D316" t="s">
        <v>20</v>
      </c>
      <c r="E316">
        <v>10</v>
      </c>
      <c r="F316" t="s">
        <v>21</v>
      </c>
      <c r="G316">
        <v>3.53</v>
      </c>
      <c r="H316">
        <v>3.63</v>
      </c>
      <c r="I316">
        <f t="shared" si="4"/>
        <v>0.10000000000000009</v>
      </c>
      <c r="J316">
        <v>7</v>
      </c>
      <c r="K316" t="s">
        <v>27</v>
      </c>
      <c r="L316">
        <v>1</v>
      </c>
      <c r="M316" t="s">
        <v>17</v>
      </c>
      <c r="N316" t="str">
        <f>IF(Table1[[#This Row],[Age]]&lt;20,"Teen",IF(Table1[[#This Row],[Age]]&lt;=22,"Young Adult","Adult"))</f>
        <v>Teen</v>
      </c>
    </row>
    <row r="317" spans="1:14" x14ac:dyDescent="0.35">
      <c r="A317" t="s">
        <v>362</v>
      </c>
      <c r="B317">
        <v>21</v>
      </c>
      <c r="C317" t="s">
        <v>24</v>
      </c>
      <c r="D317" t="s">
        <v>34</v>
      </c>
      <c r="E317">
        <v>10</v>
      </c>
      <c r="F317" t="s">
        <v>26</v>
      </c>
      <c r="G317">
        <v>2.97</v>
      </c>
      <c r="H317">
        <v>2.97</v>
      </c>
      <c r="I317">
        <f t="shared" si="4"/>
        <v>0</v>
      </c>
      <c r="J317">
        <v>11</v>
      </c>
      <c r="K317" t="s">
        <v>32</v>
      </c>
      <c r="L317">
        <v>2</v>
      </c>
      <c r="M317" t="s">
        <v>50</v>
      </c>
      <c r="N317" t="str">
        <f>IF(Table1[[#This Row],[Age]]&lt;20,"Teen",IF(Table1[[#This Row],[Age]]&lt;=22,"Young Adult","Adult"))</f>
        <v>Young Adult</v>
      </c>
    </row>
    <row r="318" spans="1:14" x14ac:dyDescent="0.35">
      <c r="A318" t="s">
        <v>363</v>
      </c>
      <c r="B318">
        <v>22</v>
      </c>
      <c r="C318" t="s">
        <v>42</v>
      </c>
      <c r="D318" t="s">
        <v>20</v>
      </c>
      <c r="E318">
        <v>2</v>
      </c>
      <c r="F318" t="s">
        <v>56</v>
      </c>
      <c r="G318">
        <v>2.75</v>
      </c>
      <c r="H318">
        <v>2.65</v>
      </c>
      <c r="I318">
        <f t="shared" si="4"/>
        <v>-0.10000000000000009</v>
      </c>
      <c r="J318">
        <v>15</v>
      </c>
      <c r="K318" t="s">
        <v>27</v>
      </c>
      <c r="L318">
        <v>9</v>
      </c>
      <c r="M318" t="s">
        <v>35</v>
      </c>
      <c r="N318" t="str">
        <f>IF(Table1[[#This Row],[Age]]&lt;20,"Teen",IF(Table1[[#This Row],[Age]]&lt;=22,"Young Adult","Adult"))</f>
        <v>Young Adult</v>
      </c>
    </row>
    <row r="319" spans="1:14" x14ac:dyDescent="0.35">
      <c r="A319" t="s">
        <v>364</v>
      </c>
      <c r="B319">
        <v>20</v>
      </c>
      <c r="C319" t="s">
        <v>39</v>
      </c>
      <c r="D319" t="s">
        <v>25</v>
      </c>
      <c r="E319">
        <v>3</v>
      </c>
      <c r="F319" t="s">
        <v>21</v>
      </c>
      <c r="G319">
        <v>3.37</v>
      </c>
      <c r="H319">
        <v>3.47</v>
      </c>
      <c r="I319">
        <f t="shared" si="4"/>
        <v>0.10000000000000009</v>
      </c>
      <c r="J319">
        <v>12</v>
      </c>
      <c r="K319" t="s">
        <v>32</v>
      </c>
      <c r="L319">
        <v>9</v>
      </c>
      <c r="M319" t="s">
        <v>66</v>
      </c>
      <c r="N319" t="str">
        <f>IF(Table1[[#This Row],[Age]]&lt;20,"Teen",IF(Table1[[#This Row],[Age]]&lt;=22,"Young Adult","Adult"))</f>
        <v>Young Adult</v>
      </c>
    </row>
    <row r="320" spans="1:14" x14ac:dyDescent="0.35">
      <c r="A320" t="s">
        <v>365</v>
      </c>
      <c r="B320">
        <v>18</v>
      </c>
      <c r="C320" t="s">
        <v>39</v>
      </c>
      <c r="D320" t="s">
        <v>34</v>
      </c>
      <c r="E320">
        <v>8</v>
      </c>
      <c r="F320" t="s">
        <v>26</v>
      </c>
      <c r="G320">
        <v>3.54</v>
      </c>
      <c r="H320">
        <v>3.74</v>
      </c>
      <c r="I320">
        <f t="shared" si="4"/>
        <v>0.20000000000000018</v>
      </c>
      <c r="J320">
        <v>13</v>
      </c>
      <c r="K320" t="s">
        <v>32</v>
      </c>
      <c r="L320">
        <v>3</v>
      </c>
      <c r="M320" t="s">
        <v>43</v>
      </c>
      <c r="N320" t="str">
        <f>IF(Table1[[#This Row],[Age]]&lt;20,"Teen",IF(Table1[[#This Row],[Age]]&lt;=22,"Young Adult","Adult"))</f>
        <v>Teen</v>
      </c>
    </row>
    <row r="321" spans="1:14" x14ac:dyDescent="0.35">
      <c r="A321" t="s">
        <v>366</v>
      </c>
      <c r="B321">
        <v>24</v>
      </c>
      <c r="C321" t="s">
        <v>13</v>
      </c>
      <c r="D321" t="s">
        <v>14</v>
      </c>
      <c r="E321">
        <v>7</v>
      </c>
      <c r="F321" t="s">
        <v>56</v>
      </c>
      <c r="G321">
        <v>3.25</v>
      </c>
      <c r="H321">
        <v>3.35</v>
      </c>
      <c r="I321">
        <f t="shared" si="4"/>
        <v>0.10000000000000009</v>
      </c>
      <c r="J321">
        <v>11</v>
      </c>
      <c r="K321" t="s">
        <v>32</v>
      </c>
      <c r="L321">
        <v>7</v>
      </c>
      <c r="M321" t="s">
        <v>64</v>
      </c>
      <c r="N321" t="str">
        <f>IF(Table1[[#This Row],[Age]]&lt;20,"Teen",IF(Table1[[#This Row],[Age]]&lt;=22,"Young Adult","Adult"))</f>
        <v>Adult</v>
      </c>
    </row>
    <row r="322" spans="1:14" x14ac:dyDescent="0.35">
      <c r="A322" t="s">
        <v>367</v>
      </c>
      <c r="B322">
        <v>18</v>
      </c>
      <c r="C322" t="s">
        <v>39</v>
      </c>
      <c r="D322" t="s">
        <v>31</v>
      </c>
      <c r="E322">
        <v>2</v>
      </c>
      <c r="F322" t="s">
        <v>40</v>
      </c>
      <c r="G322">
        <v>3.17</v>
      </c>
      <c r="H322">
        <v>3.37</v>
      </c>
      <c r="I322">
        <f t="shared" si="4"/>
        <v>0.20000000000000018</v>
      </c>
      <c r="J322">
        <v>5</v>
      </c>
      <c r="K322" t="s">
        <v>16</v>
      </c>
      <c r="L322">
        <v>8</v>
      </c>
      <c r="M322" t="s">
        <v>45</v>
      </c>
      <c r="N322" t="str">
        <f>IF(Table1[[#This Row],[Age]]&lt;20,"Teen",IF(Table1[[#This Row],[Age]]&lt;=22,"Young Adult","Adult"))</f>
        <v>Teen</v>
      </c>
    </row>
    <row r="323" spans="1:14" x14ac:dyDescent="0.35">
      <c r="A323" t="s">
        <v>368</v>
      </c>
      <c r="B323">
        <v>18</v>
      </c>
      <c r="C323" t="s">
        <v>24</v>
      </c>
      <c r="D323" t="s">
        <v>20</v>
      </c>
      <c r="E323">
        <v>7</v>
      </c>
      <c r="F323" t="s">
        <v>26</v>
      </c>
      <c r="G323">
        <v>3.6</v>
      </c>
      <c r="H323">
        <v>3.7</v>
      </c>
      <c r="I323">
        <f t="shared" ref="I323:I386" si="5">H323-G323</f>
        <v>0.10000000000000009</v>
      </c>
      <c r="J323">
        <v>15</v>
      </c>
      <c r="K323" t="s">
        <v>16</v>
      </c>
      <c r="L323">
        <v>8</v>
      </c>
      <c r="M323" t="s">
        <v>37</v>
      </c>
      <c r="N323" t="str">
        <f>IF(Table1[[#This Row],[Age]]&lt;20,"Teen",IF(Table1[[#This Row],[Age]]&lt;=22,"Young Adult","Adult"))</f>
        <v>Teen</v>
      </c>
    </row>
    <row r="324" spans="1:14" x14ac:dyDescent="0.35">
      <c r="A324" t="s">
        <v>369</v>
      </c>
      <c r="B324">
        <v>24</v>
      </c>
      <c r="C324" t="s">
        <v>42</v>
      </c>
      <c r="D324" t="s">
        <v>20</v>
      </c>
      <c r="E324">
        <v>1</v>
      </c>
      <c r="F324" t="s">
        <v>26</v>
      </c>
      <c r="G324">
        <v>3.22</v>
      </c>
      <c r="H324">
        <v>3.42</v>
      </c>
      <c r="I324">
        <f t="shared" si="5"/>
        <v>0.19999999999999973</v>
      </c>
      <c r="J324">
        <v>9</v>
      </c>
      <c r="K324" t="s">
        <v>27</v>
      </c>
      <c r="L324">
        <v>6</v>
      </c>
      <c r="M324" t="s">
        <v>66</v>
      </c>
      <c r="N324" t="str">
        <f>IF(Table1[[#This Row],[Age]]&lt;20,"Teen",IF(Table1[[#This Row],[Age]]&lt;=22,"Young Adult","Adult"))</f>
        <v>Adult</v>
      </c>
    </row>
    <row r="325" spans="1:14" x14ac:dyDescent="0.35">
      <c r="A325" t="s">
        <v>370</v>
      </c>
      <c r="B325">
        <v>25</v>
      </c>
      <c r="C325" t="s">
        <v>24</v>
      </c>
      <c r="D325" t="s">
        <v>34</v>
      </c>
      <c r="E325">
        <v>6</v>
      </c>
      <c r="F325" t="s">
        <v>26</v>
      </c>
      <c r="G325">
        <v>3.84</v>
      </c>
      <c r="H325">
        <v>4</v>
      </c>
      <c r="I325">
        <f t="shared" si="5"/>
        <v>0.16000000000000014</v>
      </c>
      <c r="J325">
        <v>7</v>
      </c>
      <c r="K325" t="s">
        <v>32</v>
      </c>
      <c r="L325">
        <v>8</v>
      </c>
      <c r="M325" t="s">
        <v>22</v>
      </c>
      <c r="N325" t="str">
        <f>IF(Table1[[#This Row],[Age]]&lt;20,"Teen",IF(Table1[[#This Row],[Age]]&lt;=22,"Young Adult","Adult"))</f>
        <v>Adult</v>
      </c>
    </row>
    <row r="326" spans="1:14" x14ac:dyDescent="0.35">
      <c r="A326" t="s">
        <v>371</v>
      </c>
      <c r="B326">
        <v>19</v>
      </c>
      <c r="C326" t="s">
        <v>42</v>
      </c>
      <c r="D326" t="s">
        <v>14</v>
      </c>
      <c r="E326">
        <v>3</v>
      </c>
      <c r="F326" t="s">
        <v>21</v>
      </c>
      <c r="G326">
        <v>3.01</v>
      </c>
      <c r="H326">
        <v>2.91</v>
      </c>
      <c r="I326">
        <f t="shared" si="5"/>
        <v>-9.9999999999999645E-2</v>
      </c>
      <c r="J326">
        <v>2</v>
      </c>
      <c r="K326" t="s">
        <v>16</v>
      </c>
      <c r="L326">
        <v>10</v>
      </c>
      <c r="M326" t="s">
        <v>50</v>
      </c>
      <c r="N326" t="str">
        <f>IF(Table1[[#This Row],[Age]]&lt;20,"Teen",IF(Table1[[#This Row],[Age]]&lt;=22,"Young Adult","Adult"))</f>
        <v>Teen</v>
      </c>
    </row>
    <row r="327" spans="1:14" x14ac:dyDescent="0.35">
      <c r="A327" t="s">
        <v>372</v>
      </c>
      <c r="B327">
        <v>21</v>
      </c>
      <c r="C327" t="s">
        <v>30</v>
      </c>
      <c r="D327" t="s">
        <v>34</v>
      </c>
      <c r="E327">
        <v>5</v>
      </c>
      <c r="F327" t="s">
        <v>40</v>
      </c>
      <c r="G327">
        <v>3.12</v>
      </c>
      <c r="H327">
        <v>3.42</v>
      </c>
      <c r="I327">
        <f t="shared" si="5"/>
        <v>0.29999999999999982</v>
      </c>
      <c r="J327">
        <v>8</v>
      </c>
      <c r="K327" t="s">
        <v>16</v>
      </c>
      <c r="L327">
        <v>7</v>
      </c>
      <c r="M327" t="s">
        <v>22</v>
      </c>
      <c r="N327" t="str">
        <f>IF(Table1[[#This Row],[Age]]&lt;20,"Teen",IF(Table1[[#This Row],[Age]]&lt;=22,"Young Adult","Adult"))</f>
        <v>Young Adult</v>
      </c>
    </row>
    <row r="328" spans="1:14" x14ac:dyDescent="0.35">
      <c r="A328" t="s">
        <v>373</v>
      </c>
      <c r="B328">
        <v>24</v>
      </c>
      <c r="C328" t="s">
        <v>30</v>
      </c>
      <c r="D328" t="s">
        <v>25</v>
      </c>
      <c r="E328">
        <v>10</v>
      </c>
      <c r="F328" t="s">
        <v>56</v>
      </c>
      <c r="G328">
        <v>3.63</v>
      </c>
      <c r="H328">
        <v>3.63</v>
      </c>
      <c r="I328">
        <f t="shared" si="5"/>
        <v>0</v>
      </c>
      <c r="J328">
        <v>10</v>
      </c>
      <c r="K328" t="s">
        <v>32</v>
      </c>
      <c r="L328">
        <v>1</v>
      </c>
      <c r="M328" t="s">
        <v>60</v>
      </c>
      <c r="N328" t="str">
        <f>IF(Table1[[#This Row],[Age]]&lt;20,"Teen",IF(Table1[[#This Row],[Age]]&lt;=22,"Young Adult","Adult"))</f>
        <v>Adult</v>
      </c>
    </row>
    <row r="329" spans="1:14" x14ac:dyDescent="0.35">
      <c r="A329" t="s">
        <v>374</v>
      </c>
      <c r="B329">
        <v>18</v>
      </c>
      <c r="C329" t="s">
        <v>42</v>
      </c>
      <c r="D329" t="s">
        <v>25</v>
      </c>
      <c r="E329">
        <v>10</v>
      </c>
      <c r="F329" t="s">
        <v>26</v>
      </c>
      <c r="G329">
        <v>3.92</v>
      </c>
      <c r="H329">
        <v>4</v>
      </c>
      <c r="I329">
        <f t="shared" si="5"/>
        <v>8.0000000000000071E-2</v>
      </c>
      <c r="J329">
        <v>4</v>
      </c>
      <c r="K329" t="s">
        <v>16</v>
      </c>
      <c r="L329">
        <v>9</v>
      </c>
      <c r="M329" t="s">
        <v>35</v>
      </c>
      <c r="N329" t="str">
        <f>IF(Table1[[#This Row],[Age]]&lt;20,"Teen",IF(Table1[[#This Row],[Age]]&lt;=22,"Young Adult","Adult"))</f>
        <v>Teen</v>
      </c>
    </row>
    <row r="330" spans="1:14" x14ac:dyDescent="0.35">
      <c r="A330" t="s">
        <v>375</v>
      </c>
      <c r="B330">
        <v>19</v>
      </c>
      <c r="C330" t="s">
        <v>24</v>
      </c>
      <c r="D330" t="s">
        <v>20</v>
      </c>
      <c r="E330">
        <v>1</v>
      </c>
      <c r="F330" t="s">
        <v>15</v>
      </c>
      <c r="G330">
        <v>3.14</v>
      </c>
      <c r="H330">
        <v>3.34</v>
      </c>
      <c r="I330">
        <f t="shared" si="5"/>
        <v>0.19999999999999973</v>
      </c>
      <c r="J330">
        <v>13</v>
      </c>
      <c r="K330" t="s">
        <v>32</v>
      </c>
      <c r="L330">
        <v>7</v>
      </c>
      <c r="M330" t="s">
        <v>64</v>
      </c>
      <c r="N330" t="str">
        <f>IF(Table1[[#This Row],[Age]]&lt;20,"Teen",IF(Table1[[#This Row],[Age]]&lt;=22,"Young Adult","Adult"))</f>
        <v>Teen</v>
      </c>
    </row>
    <row r="331" spans="1:14" x14ac:dyDescent="0.35">
      <c r="A331" t="s">
        <v>376</v>
      </c>
      <c r="B331">
        <v>24</v>
      </c>
      <c r="C331" t="s">
        <v>42</v>
      </c>
      <c r="D331" t="s">
        <v>31</v>
      </c>
      <c r="E331">
        <v>3</v>
      </c>
      <c r="F331" t="s">
        <v>56</v>
      </c>
      <c r="G331">
        <v>3.62</v>
      </c>
      <c r="H331">
        <v>3.62</v>
      </c>
      <c r="I331">
        <f t="shared" si="5"/>
        <v>0</v>
      </c>
      <c r="J331">
        <v>2</v>
      </c>
      <c r="K331" t="s">
        <v>32</v>
      </c>
      <c r="L331">
        <v>9</v>
      </c>
      <c r="M331" t="s">
        <v>50</v>
      </c>
      <c r="N331" t="str">
        <f>IF(Table1[[#This Row],[Age]]&lt;20,"Teen",IF(Table1[[#This Row],[Age]]&lt;=22,"Young Adult","Adult"))</f>
        <v>Adult</v>
      </c>
    </row>
    <row r="332" spans="1:14" x14ac:dyDescent="0.35">
      <c r="A332" t="s">
        <v>377</v>
      </c>
      <c r="B332">
        <v>20</v>
      </c>
      <c r="C332" t="s">
        <v>13</v>
      </c>
      <c r="D332" t="s">
        <v>14</v>
      </c>
      <c r="E332">
        <v>10</v>
      </c>
      <c r="F332" t="s">
        <v>21</v>
      </c>
      <c r="G332">
        <v>3.25</v>
      </c>
      <c r="H332">
        <v>3.15</v>
      </c>
      <c r="I332">
        <f t="shared" si="5"/>
        <v>-0.10000000000000009</v>
      </c>
      <c r="J332">
        <v>8</v>
      </c>
      <c r="K332" t="s">
        <v>32</v>
      </c>
      <c r="L332">
        <v>8</v>
      </c>
      <c r="M332" t="s">
        <v>87</v>
      </c>
      <c r="N332" t="str">
        <f>IF(Table1[[#This Row],[Age]]&lt;20,"Teen",IF(Table1[[#This Row],[Age]]&lt;=22,"Young Adult","Adult"))</f>
        <v>Young Adult</v>
      </c>
    </row>
    <row r="333" spans="1:14" x14ac:dyDescent="0.35">
      <c r="A333" t="s">
        <v>378</v>
      </c>
      <c r="B333">
        <v>18</v>
      </c>
      <c r="C333" t="s">
        <v>24</v>
      </c>
      <c r="D333" t="s">
        <v>31</v>
      </c>
      <c r="E333">
        <v>1</v>
      </c>
      <c r="F333" t="s">
        <v>40</v>
      </c>
      <c r="G333">
        <v>3.4</v>
      </c>
      <c r="H333">
        <v>3.5</v>
      </c>
      <c r="I333">
        <f t="shared" si="5"/>
        <v>0.10000000000000009</v>
      </c>
      <c r="J333">
        <v>4</v>
      </c>
      <c r="K333" t="s">
        <v>16</v>
      </c>
      <c r="L333">
        <v>1</v>
      </c>
      <c r="M333" t="s">
        <v>74</v>
      </c>
      <c r="N333" t="str">
        <f>IF(Table1[[#This Row],[Age]]&lt;20,"Teen",IF(Table1[[#This Row],[Age]]&lt;=22,"Young Adult","Adult"))</f>
        <v>Teen</v>
      </c>
    </row>
    <row r="334" spans="1:14" x14ac:dyDescent="0.35">
      <c r="A334" t="s">
        <v>379</v>
      </c>
      <c r="B334">
        <v>20</v>
      </c>
      <c r="C334" t="s">
        <v>42</v>
      </c>
      <c r="D334" t="s">
        <v>31</v>
      </c>
      <c r="E334">
        <v>5</v>
      </c>
      <c r="F334" t="s">
        <v>56</v>
      </c>
      <c r="G334">
        <v>3.05</v>
      </c>
      <c r="H334">
        <v>2.95</v>
      </c>
      <c r="I334">
        <f t="shared" si="5"/>
        <v>-9.9999999999999645E-2</v>
      </c>
      <c r="J334">
        <v>11</v>
      </c>
      <c r="K334" t="s">
        <v>27</v>
      </c>
      <c r="L334">
        <v>5</v>
      </c>
      <c r="M334" t="s">
        <v>43</v>
      </c>
      <c r="N334" t="str">
        <f>IF(Table1[[#This Row],[Age]]&lt;20,"Teen",IF(Table1[[#This Row],[Age]]&lt;=22,"Young Adult","Adult"))</f>
        <v>Young Adult</v>
      </c>
    </row>
    <row r="335" spans="1:14" x14ac:dyDescent="0.35">
      <c r="A335" t="s">
        <v>380</v>
      </c>
      <c r="B335">
        <v>20</v>
      </c>
      <c r="C335" t="s">
        <v>42</v>
      </c>
      <c r="D335" t="s">
        <v>20</v>
      </c>
      <c r="E335">
        <v>3</v>
      </c>
      <c r="F335" t="s">
        <v>21</v>
      </c>
      <c r="G335">
        <v>3.26</v>
      </c>
      <c r="H335">
        <v>3.26</v>
      </c>
      <c r="I335">
        <f t="shared" si="5"/>
        <v>0</v>
      </c>
      <c r="J335">
        <v>15</v>
      </c>
      <c r="K335" t="s">
        <v>27</v>
      </c>
      <c r="L335">
        <v>3</v>
      </c>
      <c r="M335" t="s">
        <v>22</v>
      </c>
      <c r="N335" t="str">
        <f>IF(Table1[[#This Row],[Age]]&lt;20,"Teen",IF(Table1[[#This Row],[Age]]&lt;=22,"Young Adult","Adult"))</f>
        <v>Young Adult</v>
      </c>
    </row>
    <row r="336" spans="1:14" x14ac:dyDescent="0.35">
      <c r="A336" t="s">
        <v>381</v>
      </c>
      <c r="B336">
        <v>25</v>
      </c>
      <c r="C336" t="s">
        <v>19</v>
      </c>
      <c r="D336" t="s">
        <v>20</v>
      </c>
      <c r="E336">
        <v>3</v>
      </c>
      <c r="F336" t="s">
        <v>26</v>
      </c>
      <c r="G336">
        <v>3.36</v>
      </c>
      <c r="H336">
        <v>3.26</v>
      </c>
      <c r="I336">
        <f t="shared" si="5"/>
        <v>-0.10000000000000009</v>
      </c>
      <c r="J336">
        <v>11</v>
      </c>
      <c r="K336" t="s">
        <v>27</v>
      </c>
      <c r="L336">
        <v>4</v>
      </c>
      <c r="M336" t="s">
        <v>100</v>
      </c>
      <c r="N336" t="str">
        <f>IF(Table1[[#This Row],[Age]]&lt;20,"Teen",IF(Table1[[#This Row],[Age]]&lt;=22,"Young Adult","Adult"))</f>
        <v>Adult</v>
      </c>
    </row>
    <row r="337" spans="1:14" x14ac:dyDescent="0.35">
      <c r="A337" t="s">
        <v>382</v>
      </c>
      <c r="B337">
        <v>21</v>
      </c>
      <c r="C337" t="s">
        <v>24</v>
      </c>
      <c r="D337" t="s">
        <v>14</v>
      </c>
      <c r="E337">
        <v>1</v>
      </c>
      <c r="F337" t="s">
        <v>40</v>
      </c>
      <c r="G337">
        <v>2.89</v>
      </c>
      <c r="H337">
        <v>2.89</v>
      </c>
      <c r="I337">
        <f t="shared" si="5"/>
        <v>0</v>
      </c>
      <c r="J337">
        <v>13</v>
      </c>
      <c r="K337" t="s">
        <v>16</v>
      </c>
      <c r="L337">
        <v>2</v>
      </c>
      <c r="M337" t="s">
        <v>87</v>
      </c>
      <c r="N337" t="str">
        <f>IF(Table1[[#This Row],[Age]]&lt;20,"Teen",IF(Table1[[#This Row],[Age]]&lt;=22,"Young Adult","Adult"))</f>
        <v>Young Adult</v>
      </c>
    </row>
    <row r="338" spans="1:14" x14ac:dyDescent="0.35">
      <c r="A338" t="s">
        <v>383</v>
      </c>
      <c r="B338">
        <v>21</v>
      </c>
      <c r="C338" t="s">
        <v>42</v>
      </c>
      <c r="D338" t="s">
        <v>31</v>
      </c>
      <c r="E338">
        <v>9</v>
      </c>
      <c r="F338" t="s">
        <v>26</v>
      </c>
      <c r="G338">
        <v>2.57</v>
      </c>
      <c r="H338">
        <v>2.57</v>
      </c>
      <c r="I338">
        <f t="shared" si="5"/>
        <v>0</v>
      </c>
      <c r="J338">
        <v>4</v>
      </c>
      <c r="K338" t="s">
        <v>27</v>
      </c>
      <c r="L338">
        <v>10</v>
      </c>
      <c r="M338" t="s">
        <v>87</v>
      </c>
      <c r="N338" t="str">
        <f>IF(Table1[[#This Row],[Age]]&lt;20,"Teen",IF(Table1[[#This Row],[Age]]&lt;=22,"Young Adult","Adult"))</f>
        <v>Young Adult</v>
      </c>
    </row>
    <row r="339" spans="1:14" x14ac:dyDescent="0.35">
      <c r="A339" t="s">
        <v>384</v>
      </c>
      <c r="B339">
        <v>22</v>
      </c>
      <c r="C339" t="s">
        <v>42</v>
      </c>
      <c r="D339" t="s">
        <v>20</v>
      </c>
      <c r="E339">
        <v>6</v>
      </c>
      <c r="F339" t="s">
        <v>26</v>
      </c>
      <c r="G339">
        <v>2.71</v>
      </c>
      <c r="H339">
        <v>2.91</v>
      </c>
      <c r="I339">
        <f t="shared" si="5"/>
        <v>0.20000000000000018</v>
      </c>
      <c r="J339">
        <v>6</v>
      </c>
      <c r="K339" t="s">
        <v>16</v>
      </c>
      <c r="L339">
        <v>2</v>
      </c>
      <c r="M339" t="s">
        <v>52</v>
      </c>
      <c r="N339" t="str">
        <f>IF(Table1[[#This Row],[Age]]&lt;20,"Teen",IF(Table1[[#This Row],[Age]]&lt;=22,"Young Adult","Adult"))</f>
        <v>Young Adult</v>
      </c>
    </row>
    <row r="340" spans="1:14" x14ac:dyDescent="0.35">
      <c r="A340" t="s">
        <v>385</v>
      </c>
      <c r="B340">
        <v>22</v>
      </c>
      <c r="C340" t="s">
        <v>42</v>
      </c>
      <c r="D340" t="s">
        <v>20</v>
      </c>
      <c r="E340">
        <v>10</v>
      </c>
      <c r="F340" t="s">
        <v>21</v>
      </c>
      <c r="G340">
        <v>2.96</v>
      </c>
      <c r="H340">
        <v>2.96</v>
      </c>
      <c r="I340">
        <f t="shared" si="5"/>
        <v>0</v>
      </c>
      <c r="J340">
        <v>2</v>
      </c>
      <c r="K340" t="s">
        <v>27</v>
      </c>
      <c r="L340">
        <v>1</v>
      </c>
      <c r="M340" t="s">
        <v>48</v>
      </c>
      <c r="N340" t="str">
        <f>IF(Table1[[#This Row],[Age]]&lt;20,"Teen",IF(Table1[[#This Row],[Age]]&lt;=22,"Young Adult","Adult"))</f>
        <v>Young Adult</v>
      </c>
    </row>
    <row r="341" spans="1:14" x14ac:dyDescent="0.35">
      <c r="A341" t="s">
        <v>386</v>
      </c>
      <c r="B341">
        <v>18</v>
      </c>
      <c r="C341" t="s">
        <v>30</v>
      </c>
      <c r="D341" t="s">
        <v>31</v>
      </c>
      <c r="E341">
        <v>9</v>
      </c>
      <c r="F341" t="s">
        <v>40</v>
      </c>
      <c r="G341">
        <v>3.98</v>
      </c>
      <c r="H341">
        <v>3.88</v>
      </c>
      <c r="I341">
        <f t="shared" si="5"/>
        <v>-0.10000000000000009</v>
      </c>
      <c r="J341">
        <v>9</v>
      </c>
      <c r="K341" t="s">
        <v>16</v>
      </c>
      <c r="L341">
        <v>7</v>
      </c>
      <c r="M341" t="s">
        <v>43</v>
      </c>
      <c r="N341" t="str">
        <f>IF(Table1[[#This Row],[Age]]&lt;20,"Teen",IF(Table1[[#This Row],[Age]]&lt;=22,"Young Adult","Adult"))</f>
        <v>Teen</v>
      </c>
    </row>
    <row r="342" spans="1:14" x14ac:dyDescent="0.35">
      <c r="A342" t="s">
        <v>387</v>
      </c>
      <c r="B342">
        <v>21</v>
      </c>
      <c r="C342" t="s">
        <v>24</v>
      </c>
      <c r="D342" t="s">
        <v>14</v>
      </c>
      <c r="E342">
        <v>8</v>
      </c>
      <c r="F342" t="s">
        <v>56</v>
      </c>
      <c r="G342">
        <v>3.88</v>
      </c>
      <c r="H342">
        <v>4</v>
      </c>
      <c r="I342">
        <f t="shared" si="5"/>
        <v>0.12000000000000011</v>
      </c>
      <c r="J342">
        <v>7</v>
      </c>
      <c r="K342" t="s">
        <v>16</v>
      </c>
      <c r="L342">
        <v>10</v>
      </c>
      <c r="M342" t="s">
        <v>48</v>
      </c>
      <c r="N342" t="str">
        <f>IF(Table1[[#This Row],[Age]]&lt;20,"Teen",IF(Table1[[#This Row],[Age]]&lt;=22,"Young Adult","Adult"))</f>
        <v>Young Adult</v>
      </c>
    </row>
    <row r="343" spans="1:14" x14ac:dyDescent="0.35">
      <c r="A343" t="s">
        <v>388</v>
      </c>
      <c r="B343">
        <v>24</v>
      </c>
      <c r="C343" t="s">
        <v>30</v>
      </c>
      <c r="D343" t="s">
        <v>14</v>
      </c>
      <c r="E343">
        <v>1</v>
      </c>
      <c r="F343" t="s">
        <v>21</v>
      </c>
      <c r="G343">
        <v>3.41</v>
      </c>
      <c r="H343">
        <v>3.61</v>
      </c>
      <c r="I343">
        <f t="shared" si="5"/>
        <v>0.19999999999999973</v>
      </c>
      <c r="J343">
        <v>2</v>
      </c>
      <c r="K343" t="s">
        <v>32</v>
      </c>
      <c r="L343">
        <v>7</v>
      </c>
      <c r="M343" t="s">
        <v>52</v>
      </c>
      <c r="N343" t="str">
        <f>IF(Table1[[#This Row],[Age]]&lt;20,"Teen",IF(Table1[[#This Row],[Age]]&lt;=22,"Young Adult","Adult"))</f>
        <v>Adult</v>
      </c>
    </row>
    <row r="344" spans="1:14" x14ac:dyDescent="0.35">
      <c r="A344" t="s">
        <v>389</v>
      </c>
      <c r="B344">
        <v>21</v>
      </c>
      <c r="C344" t="s">
        <v>19</v>
      </c>
      <c r="D344" t="s">
        <v>34</v>
      </c>
      <c r="E344">
        <v>5</v>
      </c>
      <c r="F344" t="s">
        <v>21</v>
      </c>
      <c r="G344">
        <v>3.74</v>
      </c>
      <c r="H344">
        <v>4</v>
      </c>
      <c r="I344">
        <f t="shared" si="5"/>
        <v>0.25999999999999979</v>
      </c>
      <c r="J344">
        <v>11</v>
      </c>
      <c r="K344" t="s">
        <v>16</v>
      </c>
      <c r="L344">
        <v>3</v>
      </c>
      <c r="M344" t="s">
        <v>22</v>
      </c>
      <c r="N344" t="str">
        <f>IF(Table1[[#This Row],[Age]]&lt;20,"Teen",IF(Table1[[#This Row],[Age]]&lt;=22,"Young Adult","Adult"))</f>
        <v>Young Adult</v>
      </c>
    </row>
    <row r="345" spans="1:14" x14ac:dyDescent="0.35">
      <c r="A345" t="s">
        <v>390</v>
      </c>
      <c r="B345">
        <v>18</v>
      </c>
      <c r="C345" t="s">
        <v>39</v>
      </c>
      <c r="D345" t="s">
        <v>25</v>
      </c>
      <c r="E345">
        <v>7</v>
      </c>
      <c r="F345" t="s">
        <v>15</v>
      </c>
      <c r="G345">
        <v>3.9</v>
      </c>
      <c r="H345">
        <v>4</v>
      </c>
      <c r="I345">
        <f t="shared" si="5"/>
        <v>0.10000000000000009</v>
      </c>
      <c r="J345">
        <v>12</v>
      </c>
      <c r="K345" t="s">
        <v>27</v>
      </c>
      <c r="L345">
        <v>5</v>
      </c>
      <c r="M345" t="s">
        <v>50</v>
      </c>
      <c r="N345" t="str">
        <f>IF(Table1[[#This Row],[Age]]&lt;20,"Teen",IF(Table1[[#This Row],[Age]]&lt;=22,"Young Adult","Adult"))</f>
        <v>Teen</v>
      </c>
    </row>
    <row r="346" spans="1:14" x14ac:dyDescent="0.35">
      <c r="A346" t="s">
        <v>391</v>
      </c>
      <c r="B346">
        <v>19</v>
      </c>
      <c r="C346" t="s">
        <v>13</v>
      </c>
      <c r="D346" t="s">
        <v>14</v>
      </c>
      <c r="E346">
        <v>4</v>
      </c>
      <c r="F346" t="s">
        <v>56</v>
      </c>
      <c r="G346">
        <v>2.61</v>
      </c>
      <c r="H346">
        <v>2.81</v>
      </c>
      <c r="I346">
        <f t="shared" si="5"/>
        <v>0.20000000000000018</v>
      </c>
      <c r="J346">
        <v>12</v>
      </c>
      <c r="K346" t="s">
        <v>16</v>
      </c>
      <c r="L346">
        <v>2</v>
      </c>
      <c r="M346" t="s">
        <v>60</v>
      </c>
      <c r="N346" t="str">
        <f>IF(Table1[[#This Row],[Age]]&lt;20,"Teen",IF(Table1[[#This Row],[Age]]&lt;=22,"Young Adult","Adult"))</f>
        <v>Teen</v>
      </c>
    </row>
    <row r="347" spans="1:14" x14ac:dyDescent="0.35">
      <c r="A347" t="s">
        <v>392</v>
      </c>
      <c r="B347">
        <v>19</v>
      </c>
      <c r="C347" t="s">
        <v>13</v>
      </c>
      <c r="D347" t="s">
        <v>25</v>
      </c>
      <c r="E347">
        <v>2</v>
      </c>
      <c r="F347" t="s">
        <v>56</v>
      </c>
      <c r="G347">
        <v>3.28</v>
      </c>
      <c r="H347">
        <v>3.48</v>
      </c>
      <c r="I347">
        <f t="shared" si="5"/>
        <v>0.20000000000000018</v>
      </c>
      <c r="J347">
        <v>10</v>
      </c>
      <c r="K347" t="s">
        <v>32</v>
      </c>
      <c r="L347">
        <v>4</v>
      </c>
      <c r="M347" t="s">
        <v>60</v>
      </c>
      <c r="N347" t="str">
        <f>IF(Table1[[#This Row],[Age]]&lt;20,"Teen",IF(Table1[[#This Row],[Age]]&lt;=22,"Young Adult","Adult"))</f>
        <v>Teen</v>
      </c>
    </row>
    <row r="348" spans="1:14" x14ac:dyDescent="0.35">
      <c r="A348" t="s">
        <v>393</v>
      </c>
      <c r="B348">
        <v>23</v>
      </c>
      <c r="C348" t="s">
        <v>39</v>
      </c>
      <c r="D348" t="s">
        <v>25</v>
      </c>
      <c r="E348">
        <v>9</v>
      </c>
      <c r="F348" t="s">
        <v>15</v>
      </c>
      <c r="G348">
        <v>3.59</v>
      </c>
      <c r="H348">
        <v>3.79</v>
      </c>
      <c r="I348">
        <f t="shared" si="5"/>
        <v>0.20000000000000018</v>
      </c>
      <c r="J348">
        <v>14</v>
      </c>
      <c r="K348" t="s">
        <v>27</v>
      </c>
      <c r="L348">
        <v>9</v>
      </c>
      <c r="M348" t="s">
        <v>22</v>
      </c>
      <c r="N348" t="str">
        <f>IF(Table1[[#This Row],[Age]]&lt;20,"Teen",IF(Table1[[#This Row],[Age]]&lt;=22,"Young Adult","Adult"))</f>
        <v>Adult</v>
      </c>
    </row>
    <row r="349" spans="1:14" x14ac:dyDescent="0.35">
      <c r="A349" t="s">
        <v>394</v>
      </c>
      <c r="B349">
        <v>22</v>
      </c>
      <c r="C349" t="s">
        <v>39</v>
      </c>
      <c r="D349" t="s">
        <v>20</v>
      </c>
      <c r="E349">
        <v>9</v>
      </c>
      <c r="F349" t="s">
        <v>21</v>
      </c>
      <c r="G349">
        <v>3.01</v>
      </c>
      <c r="H349">
        <v>3.21</v>
      </c>
      <c r="I349">
        <f t="shared" si="5"/>
        <v>0.20000000000000018</v>
      </c>
      <c r="J349">
        <v>9</v>
      </c>
      <c r="K349" t="s">
        <v>27</v>
      </c>
      <c r="L349">
        <v>5</v>
      </c>
      <c r="M349" t="s">
        <v>66</v>
      </c>
      <c r="N349" t="str">
        <f>IF(Table1[[#This Row],[Age]]&lt;20,"Teen",IF(Table1[[#This Row],[Age]]&lt;=22,"Young Adult","Adult"))</f>
        <v>Young Adult</v>
      </c>
    </row>
    <row r="350" spans="1:14" x14ac:dyDescent="0.35">
      <c r="A350" t="s">
        <v>395</v>
      </c>
      <c r="B350">
        <v>24</v>
      </c>
      <c r="C350" t="s">
        <v>13</v>
      </c>
      <c r="D350" t="s">
        <v>31</v>
      </c>
      <c r="E350">
        <v>8</v>
      </c>
      <c r="F350" t="s">
        <v>26</v>
      </c>
      <c r="G350">
        <v>2.99</v>
      </c>
      <c r="H350">
        <v>2.99</v>
      </c>
      <c r="I350">
        <f t="shared" si="5"/>
        <v>0</v>
      </c>
      <c r="J350">
        <v>5</v>
      </c>
      <c r="K350" t="s">
        <v>27</v>
      </c>
      <c r="L350">
        <v>2</v>
      </c>
      <c r="M350" t="s">
        <v>43</v>
      </c>
      <c r="N350" t="str">
        <f>IF(Table1[[#This Row],[Age]]&lt;20,"Teen",IF(Table1[[#This Row],[Age]]&lt;=22,"Young Adult","Adult"))</f>
        <v>Adult</v>
      </c>
    </row>
    <row r="351" spans="1:14" x14ac:dyDescent="0.35">
      <c r="A351" t="s">
        <v>396</v>
      </c>
      <c r="B351">
        <v>22</v>
      </c>
      <c r="C351" t="s">
        <v>19</v>
      </c>
      <c r="D351" t="s">
        <v>14</v>
      </c>
      <c r="E351">
        <v>1</v>
      </c>
      <c r="F351" t="s">
        <v>56</v>
      </c>
      <c r="G351">
        <v>3.01</v>
      </c>
      <c r="H351">
        <v>3.11</v>
      </c>
      <c r="I351">
        <f t="shared" si="5"/>
        <v>0.10000000000000009</v>
      </c>
      <c r="J351">
        <v>12</v>
      </c>
      <c r="K351" t="s">
        <v>16</v>
      </c>
      <c r="L351">
        <v>4</v>
      </c>
      <c r="M351" t="s">
        <v>37</v>
      </c>
      <c r="N351" t="str">
        <f>IF(Table1[[#This Row],[Age]]&lt;20,"Teen",IF(Table1[[#This Row],[Age]]&lt;=22,"Young Adult","Adult"))</f>
        <v>Young Adult</v>
      </c>
    </row>
    <row r="352" spans="1:14" x14ac:dyDescent="0.35">
      <c r="A352" t="s">
        <v>397</v>
      </c>
      <c r="B352">
        <v>22</v>
      </c>
      <c r="C352" t="s">
        <v>24</v>
      </c>
      <c r="D352" t="s">
        <v>20</v>
      </c>
      <c r="E352">
        <v>10</v>
      </c>
      <c r="F352" t="s">
        <v>26</v>
      </c>
      <c r="G352">
        <v>2.66</v>
      </c>
      <c r="H352">
        <v>2.66</v>
      </c>
      <c r="I352">
        <f t="shared" si="5"/>
        <v>0</v>
      </c>
      <c r="J352">
        <v>9</v>
      </c>
      <c r="K352" t="s">
        <v>32</v>
      </c>
      <c r="L352">
        <v>5</v>
      </c>
      <c r="M352" t="s">
        <v>43</v>
      </c>
      <c r="N352" t="str">
        <f>IF(Table1[[#This Row],[Age]]&lt;20,"Teen",IF(Table1[[#This Row],[Age]]&lt;=22,"Young Adult","Adult"))</f>
        <v>Young Adult</v>
      </c>
    </row>
    <row r="353" spans="1:14" x14ac:dyDescent="0.35">
      <c r="A353" t="s">
        <v>398</v>
      </c>
      <c r="B353">
        <v>24</v>
      </c>
      <c r="C353" t="s">
        <v>39</v>
      </c>
      <c r="D353" t="s">
        <v>25</v>
      </c>
      <c r="E353">
        <v>2</v>
      </c>
      <c r="F353" t="s">
        <v>21</v>
      </c>
      <c r="G353">
        <v>3.63</v>
      </c>
      <c r="H353">
        <v>3.83</v>
      </c>
      <c r="I353">
        <f t="shared" si="5"/>
        <v>0.20000000000000018</v>
      </c>
      <c r="J353">
        <v>15</v>
      </c>
      <c r="K353" t="s">
        <v>27</v>
      </c>
      <c r="L353">
        <v>7</v>
      </c>
      <c r="M353" t="s">
        <v>37</v>
      </c>
      <c r="N353" t="str">
        <f>IF(Table1[[#This Row],[Age]]&lt;20,"Teen",IF(Table1[[#This Row],[Age]]&lt;=22,"Young Adult","Adult"))</f>
        <v>Adult</v>
      </c>
    </row>
    <row r="354" spans="1:14" x14ac:dyDescent="0.35">
      <c r="A354" t="s">
        <v>399</v>
      </c>
      <c r="B354">
        <v>18</v>
      </c>
      <c r="C354" t="s">
        <v>24</v>
      </c>
      <c r="D354" t="s">
        <v>31</v>
      </c>
      <c r="E354">
        <v>4</v>
      </c>
      <c r="F354" t="s">
        <v>26</v>
      </c>
      <c r="G354">
        <v>3.9</v>
      </c>
      <c r="H354">
        <v>4</v>
      </c>
      <c r="I354">
        <f t="shared" si="5"/>
        <v>0.10000000000000009</v>
      </c>
      <c r="J354">
        <v>6</v>
      </c>
      <c r="K354" t="s">
        <v>27</v>
      </c>
      <c r="L354">
        <v>7</v>
      </c>
      <c r="M354" t="s">
        <v>35</v>
      </c>
      <c r="N354" t="str">
        <f>IF(Table1[[#This Row],[Age]]&lt;20,"Teen",IF(Table1[[#This Row],[Age]]&lt;=22,"Young Adult","Adult"))</f>
        <v>Teen</v>
      </c>
    </row>
    <row r="355" spans="1:14" x14ac:dyDescent="0.35">
      <c r="A355" t="s">
        <v>400</v>
      </c>
      <c r="B355">
        <v>21</v>
      </c>
      <c r="C355" t="s">
        <v>13</v>
      </c>
      <c r="D355" t="s">
        <v>34</v>
      </c>
      <c r="E355">
        <v>10</v>
      </c>
      <c r="F355" t="s">
        <v>21</v>
      </c>
      <c r="G355">
        <v>3.69</v>
      </c>
      <c r="H355">
        <v>3.89</v>
      </c>
      <c r="I355">
        <f t="shared" si="5"/>
        <v>0.20000000000000018</v>
      </c>
      <c r="J355">
        <v>13</v>
      </c>
      <c r="K355" t="s">
        <v>27</v>
      </c>
      <c r="L355">
        <v>10</v>
      </c>
      <c r="M355" t="s">
        <v>48</v>
      </c>
      <c r="N355" t="str">
        <f>IF(Table1[[#This Row],[Age]]&lt;20,"Teen",IF(Table1[[#This Row],[Age]]&lt;=22,"Young Adult","Adult"))</f>
        <v>Young Adult</v>
      </c>
    </row>
    <row r="356" spans="1:14" x14ac:dyDescent="0.35">
      <c r="A356" t="s">
        <v>401</v>
      </c>
      <c r="B356">
        <v>22</v>
      </c>
      <c r="C356" t="s">
        <v>39</v>
      </c>
      <c r="D356" t="s">
        <v>34</v>
      </c>
      <c r="E356">
        <v>8</v>
      </c>
      <c r="F356" t="s">
        <v>40</v>
      </c>
      <c r="G356">
        <v>3.55</v>
      </c>
      <c r="H356">
        <v>3.75</v>
      </c>
      <c r="I356">
        <f t="shared" si="5"/>
        <v>0.20000000000000018</v>
      </c>
      <c r="J356">
        <v>12</v>
      </c>
      <c r="K356" t="s">
        <v>27</v>
      </c>
      <c r="L356">
        <v>8</v>
      </c>
      <c r="M356" t="s">
        <v>22</v>
      </c>
      <c r="N356" t="str">
        <f>IF(Table1[[#This Row],[Age]]&lt;20,"Teen",IF(Table1[[#This Row],[Age]]&lt;=22,"Young Adult","Adult"))</f>
        <v>Young Adult</v>
      </c>
    </row>
    <row r="357" spans="1:14" x14ac:dyDescent="0.35">
      <c r="A357" t="s">
        <v>402</v>
      </c>
      <c r="B357">
        <v>19</v>
      </c>
      <c r="C357" t="s">
        <v>42</v>
      </c>
      <c r="D357" t="s">
        <v>20</v>
      </c>
      <c r="E357">
        <v>8</v>
      </c>
      <c r="F357" t="s">
        <v>56</v>
      </c>
      <c r="G357">
        <v>2.95</v>
      </c>
      <c r="H357">
        <v>2.95</v>
      </c>
      <c r="I357">
        <f t="shared" si="5"/>
        <v>0</v>
      </c>
      <c r="J357">
        <v>8</v>
      </c>
      <c r="K357" t="s">
        <v>16</v>
      </c>
      <c r="L357">
        <v>1</v>
      </c>
      <c r="M357" t="s">
        <v>17</v>
      </c>
      <c r="N357" t="str">
        <f>IF(Table1[[#This Row],[Age]]&lt;20,"Teen",IF(Table1[[#This Row],[Age]]&lt;=22,"Young Adult","Adult"))</f>
        <v>Teen</v>
      </c>
    </row>
    <row r="358" spans="1:14" x14ac:dyDescent="0.35">
      <c r="A358" t="s">
        <v>403</v>
      </c>
      <c r="B358">
        <v>24</v>
      </c>
      <c r="C358" t="s">
        <v>30</v>
      </c>
      <c r="D358" t="s">
        <v>31</v>
      </c>
      <c r="E358">
        <v>2</v>
      </c>
      <c r="F358" t="s">
        <v>15</v>
      </c>
      <c r="G358">
        <v>3.31</v>
      </c>
      <c r="H358">
        <v>3.31</v>
      </c>
      <c r="I358">
        <f t="shared" si="5"/>
        <v>0</v>
      </c>
      <c r="J358">
        <v>7</v>
      </c>
      <c r="K358" t="s">
        <v>32</v>
      </c>
      <c r="L358">
        <v>6</v>
      </c>
      <c r="M358" t="s">
        <v>74</v>
      </c>
      <c r="N358" t="str">
        <f>IF(Table1[[#This Row],[Age]]&lt;20,"Teen",IF(Table1[[#This Row],[Age]]&lt;=22,"Young Adult","Adult"))</f>
        <v>Adult</v>
      </c>
    </row>
    <row r="359" spans="1:14" x14ac:dyDescent="0.35">
      <c r="A359" t="s">
        <v>404</v>
      </c>
      <c r="B359">
        <v>25</v>
      </c>
      <c r="C359" t="s">
        <v>42</v>
      </c>
      <c r="D359" t="s">
        <v>14</v>
      </c>
      <c r="E359">
        <v>2</v>
      </c>
      <c r="F359" t="s">
        <v>56</v>
      </c>
      <c r="G359">
        <v>3.42</v>
      </c>
      <c r="H359">
        <v>3.62</v>
      </c>
      <c r="I359">
        <f t="shared" si="5"/>
        <v>0.20000000000000018</v>
      </c>
      <c r="J359">
        <v>5</v>
      </c>
      <c r="K359" t="s">
        <v>32</v>
      </c>
      <c r="L359">
        <v>3</v>
      </c>
      <c r="M359" t="s">
        <v>74</v>
      </c>
      <c r="N359" t="str">
        <f>IF(Table1[[#This Row],[Age]]&lt;20,"Teen",IF(Table1[[#This Row],[Age]]&lt;=22,"Young Adult","Adult"))</f>
        <v>Adult</v>
      </c>
    </row>
    <row r="360" spans="1:14" x14ac:dyDescent="0.35">
      <c r="A360" t="s">
        <v>405</v>
      </c>
      <c r="B360">
        <v>21</v>
      </c>
      <c r="C360" t="s">
        <v>19</v>
      </c>
      <c r="D360" t="s">
        <v>31</v>
      </c>
      <c r="E360">
        <v>4</v>
      </c>
      <c r="F360" t="s">
        <v>15</v>
      </c>
      <c r="G360">
        <v>3.32</v>
      </c>
      <c r="H360">
        <v>3.62</v>
      </c>
      <c r="I360">
        <f t="shared" si="5"/>
        <v>0.30000000000000027</v>
      </c>
      <c r="J360">
        <v>9</v>
      </c>
      <c r="K360" t="s">
        <v>27</v>
      </c>
      <c r="L360">
        <v>9</v>
      </c>
      <c r="M360" t="s">
        <v>28</v>
      </c>
      <c r="N360" t="str">
        <f>IF(Table1[[#This Row],[Age]]&lt;20,"Teen",IF(Table1[[#This Row],[Age]]&lt;=22,"Young Adult","Adult"))</f>
        <v>Young Adult</v>
      </c>
    </row>
    <row r="361" spans="1:14" x14ac:dyDescent="0.35">
      <c r="A361" t="s">
        <v>406</v>
      </c>
      <c r="B361">
        <v>20</v>
      </c>
      <c r="C361" t="s">
        <v>30</v>
      </c>
      <c r="D361" t="s">
        <v>31</v>
      </c>
      <c r="E361">
        <v>1</v>
      </c>
      <c r="F361" t="s">
        <v>21</v>
      </c>
      <c r="G361">
        <v>3.95</v>
      </c>
      <c r="H361">
        <v>4</v>
      </c>
      <c r="I361">
        <f t="shared" si="5"/>
        <v>4.9999999999999822E-2</v>
      </c>
      <c r="J361">
        <v>12</v>
      </c>
      <c r="K361" t="s">
        <v>32</v>
      </c>
      <c r="L361">
        <v>2</v>
      </c>
      <c r="M361" t="s">
        <v>66</v>
      </c>
      <c r="N361" t="str">
        <f>IF(Table1[[#This Row],[Age]]&lt;20,"Teen",IF(Table1[[#This Row],[Age]]&lt;=22,"Young Adult","Adult"))</f>
        <v>Young Adult</v>
      </c>
    </row>
    <row r="362" spans="1:14" x14ac:dyDescent="0.35">
      <c r="A362" t="s">
        <v>407</v>
      </c>
      <c r="B362">
        <v>21</v>
      </c>
      <c r="C362" t="s">
        <v>19</v>
      </c>
      <c r="D362" t="s">
        <v>14</v>
      </c>
      <c r="E362">
        <v>2</v>
      </c>
      <c r="F362" t="s">
        <v>40</v>
      </c>
      <c r="G362">
        <v>3.12</v>
      </c>
      <c r="H362">
        <v>3.02</v>
      </c>
      <c r="I362">
        <f t="shared" si="5"/>
        <v>-0.10000000000000009</v>
      </c>
      <c r="J362">
        <v>13</v>
      </c>
      <c r="K362" t="s">
        <v>27</v>
      </c>
      <c r="L362">
        <v>1</v>
      </c>
      <c r="M362" t="s">
        <v>28</v>
      </c>
      <c r="N362" t="str">
        <f>IF(Table1[[#This Row],[Age]]&lt;20,"Teen",IF(Table1[[#This Row],[Age]]&lt;=22,"Young Adult","Adult"))</f>
        <v>Young Adult</v>
      </c>
    </row>
    <row r="363" spans="1:14" x14ac:dyDescent="0.35">
      <c r="A363" t="s">
        <v>408</v>
      </c>
      <c r="B363">
        <v>21</v>
      </c>
      <c r="C363" t="s">
        <v>24</v>
      </c>
      <c r="D363" t="s">
        <v>20</v>
      </c>
      <c r="E363">
        <v>2</v>
      </c>
      <c r="F363" t="s">
        <v>15</v>
      </c>
      <c r="G363">
        <v>3.66</v>
      </c>
      <c r="H363">
        <v>3.86</v>
      </c>
      <c r="I363">
        <f t="shared" si="5"/>
        <v>0.19999999999999973</v>
      </c>
      <c r="J363">
        <v>15</v>
      </c>
      <c r="K363" t="s">
        <v>27</v>
      </c>
      <c r="L363">
        <v>2</v>
      </c>
      <c r="M363" t="s">
        <v>50</v>
      </c>
      <c r="N363" t="str">
        <f>IF(Table1[[#This Row],[Age]]&lt;20,"Teen",IF(Table1[[#This Row],[Age]]&lt;=22,"Young Adult","Adult"))</f>
        <v>Young Adult</v>
      </c>
    </row>
    <row r="364" spans="1:14" x14ac:dyDescent="0.35">
      <c r="A364" t="s">
        <v>409</v>
      </c>
      <c r="B364">
        <v>21</v>
      </c>
      <c r="C364" t="s">
        <v>39</v>
      </c>
      <c r="D364" t="s">
        <v>20</v>
      </c>
      <c r="E364">
        <v>1</v>
      </c>
      <c r="F364" t="s">
        <v>26</v>
      </c>
      <c r="G364">
        <v>3.01</v>
      </c>
      <c r="H364">
        <v>3.01</v>
      </c>
      <c r="I364">
        <f t="shared" si="5"/>
        <v>0</v>
      </c>
      <c r="J364">
        <v>4</v>
      </c>
      <c r="K364" t="s">
        <v>27</v>
      </c>
      <c r="L364">
        <v>2</v>
      </c>
      <c r="M364" t="s">
        <v>50</v>
      </c>
      <c r="N364" t="str">
        <f>IF(Table1[[#This Row],[Age]]&lt;20,"Teen",IF(Table1[[#This Row],[Age]]&lt;=22,"Young Adult","Adult"))</f>
        <v>Young Adult</v>
      </c>
    </row>
    <row r="365" spans="1:14" x14ac:dyDescent="0.35">
      <c r="A365" t="s">
        <v>410</v>
      </c>
      <c r="B365">
        <v>18</v>
      </c>
      <c r="C365" t="s">
        <v>39</v>
      </c>
      <c r="D365" t="s">
        <v>31</v>
      </c>
      <c r="E365">
        <v>10</v>
      </c>
      <c r="F365" t="s">
        <v>56</v>
      </c>
      <c r="G365">
        <v>2.84</v>
      </c>
      <c r="H365">
        <v>2.84</v>
      </c>
      <c r="I365">
        <f t="shared" si="5"/>
        <v>0</v>
      </c>
      <c r="J365">
        <v>4</v>
      </c>
      <c r="K365" t="s">
        <v>32</v>
      </c>
      <c r="L365">
        <v>3</v>
      </c>
      <c r="M365" t="s">
        <v>48</v>
      </c>
      <c r="N365" t="str">
        <f>IF(Table1[[#This Row],[Age]]&lt;20,"Teen",IF(Table1[[#This Row],[Age]]&lt;=22,"Young Adult","Adult"))</f>
        <v>Teen</v>
      </c>
    </row>
    <row r="366" spans="1:14" x14ac:dyDescent="0.35">
      <c r="A366" t="s">
        <v>411</v>
      </c>
      <c r="B366">
        <v>21</v>
      </c>
      <c r="C366" t="s">
        <v>19</v>
      </c>
      <c r="D366" t="s">
        <v>20</v>
      </c>
      <c r="E366">
        <v>8</v>
      </c>
      <c r="F366" t="s">
        <v>21</v>
      </c>
      <c r="G366">
        <v>2.9</v>
      </c>
      <c r="H366">
        <v>3.2</v>
      </c>
      <c r="I366">
        <f t="shared" si="5"/>
        <v>0.30000000000000027</v>
      </c>
      <c r="J366">
        <v>4</v>
      </c>
      <c r="K366" t="s">
        <v>27</v>
      </c>
      <c r="L366">
        <v>5</v>
      </c>
      <c r="M366" t="s">
        <v>50</v>
      </c>
      <c r="N366" t="str">
        <f>IF(Table1[[#This Row],[Age]]&lt;20,"Teen",IF(Table1[[#This Row],[Age]]&lt;=22,"Young Adult","Adult"))</f>
        <v>Young Adult</v>
      </c>
    </row>
    <row r="367" spans="1:14" x14ac:dyDescent="0.35">
      <c r="A367" t="s">
        <v>412</v>
      </c>
      <c r="B367">
        <v>23</v>
      </c>
      <c r="C367" t="s">
        <v>42</v>
      </c>
      <c r="D367" t="s">
        <v>25</v>
      </c>
      <c r="E367">
        <v>5</v>
      </c>
      <c r="F367" t="s">
        <v>56</v>
      </c>
      <c r="G367">
        <v>3.25</v>
      </c>
      <c r="H367">
        <v>3.25</v>
      </c>
      <c r="I367">
        <f t="shared" si="5"/>
        <v>0</v>
      </c>
      <c r="J367">
        <v>14</v>
      </c>
      <c r="K367" t="s">
        <v>27</v>
      </c>
      <c r="L367">
        <v>5</v>
      </c>
      <c r="M367" t="s">
        <v>64</v>
      </c>
      <c r="N367" t="str">
        <f>IF(Table1[[#This Row],[Age]]&lt;20,"Teen",IF(Table1[[#This Row],[Age]]&lt;=22,"Young Adult","Adult"))</f>
        <v>Adult</v>
      </c>
    </row>
    <row r="368" spans="1:14" x14ac:dyDescent="0.35">
      <c r="A368" t="s">
        <v>413</v>
      </c>
      <c r="B368">
        <v>25</v>
      </c>
      <c r="C368" t="s">
        <v>39</v>
      </c>
      <c r="D368" t="s">
        <v>31</v>
      </c>
      <c r="E368">
        <v>3</v>
      </c>
      <c r="F368" t="s">
        <v>21</v>
      </c>
      <c r="G368">
        <v>3.56</v>
      </c>
      <c r="H368">
        <v>3.66</v>
      </c>
      <c r="I368">
        <f t="shared" si="5"/>
        <v>0.10000000000000009</v>
      </c>
      <c r="J368">
        <v>15</v>
      </c>
      <c r="K368" t="s">
        <v>32</v>
      </c>
      <c r="L368">
        <v>8</v>
      </c>
      <c r="M368" t="s">
        <v>17</v>
      </c>
      <c r="N368" t="str">
        <f>IF(Table1[[#This Row],[Age]]&lt;20,"Teen",IF(Table1[[#This Row],[Age]]&lt;=22,"Young Adult","Adult"))</f>
        <v>Adult</v>
      </c>
    </row>
    <row r="369" spans="1:14" x14ac:dyDescent="0.35">
      <c r="A369" t="s">
        <v>414</v>
      </c>
      <c r="B369">
        <v>20</v>
      </c>
      <c r="C369" t="s">
        <v>13</v>
      </c>
      <c r="D369" t="s">
        <v>14</v>
      </c>
      <c r="E369">
        <v>7</v>
      </c>
      <c r="F369" t="s">
        <v>56</v>
      </c>
      <c r="G369">
        <v>3.47</v>
      </c>
      <c r="H369">
        <v>3.77</v>
      </c>
      <c r="I369">
        <f t="shared" si="5"/>
        <v>0.29999999999999982</v>
      </c>
      <c r="J369">
        <v>12</v>
      </c>
      <c r="K369" t="s">
        <v>16</v>
      </c>
      <c r="L369">
        <v>3</v>
      </c>
      <c r="M369" t="s">
        <v>66</v>
      </c>
      <c r="N369" t="str">
        <f>IF(Table1[[#This Row],[Age]]&lt;20,"Teen",IF(Table1[[#This Row],[Age]]&lt;=22,"Young Adult","Adult"))</f>
        <v>Young Adult</v>
      </c>
    </row>
    <row r="370" spans="1:14" x14ac:dyDescent="0.35">
      <c r="A370" t="s">
        <v>415</v>
      </c>
      <c r="B370">
        <v>25</v>
      </c>
      <c r="C370" t="s">
        <v>42</v>
      </c>
      <c r="D370" t="s">
        <v>31</v>
      </c>
      <c r="E370">
        <v>6</v>
      </c>
      <c r="F370" t="s">
        <v>40</v>
      </c>
      <c r="G370">
        <v>3.29</v>
      </c>
      <c r="H370">
        <v>3.49</v>
      </c>
      <c r="I370">
        <f t="shared" si="5"/>
        <v>0.20000000000000018</v>
      </c>
      <c r="J370">
        <v>7</v>
      </c>
      <c r="K370" t="s">
        <v>27</v>
      </c>
      <c r="L370">
        <v>5</v>
      </c>
      <c r="M370" t="s">
        <v>45</v>
      </c>
      <c r="N370" t="str">
        <f>IF(Table1[[#This Row],[Age]]&lt;20,"Teen",IF(Table1[[#This Row],[Age]]&lt;=22,"Young Adult","Adult"))</f>
        <v>Adult</v>
      </c>
    </row>
    <row r="371" spans="1:14" x14ac:dyDescent="0.35">
      <c r="A371" t="s">
        <v>416</v>
      </c>
      <c r="B371">
        <v>23</v>
      </c>
      <c r="C371" t="s">
        <v>13</v>
      </c>
      <c r="D371" t="s">
        <v>31</v>
      </c>
      <c r="E371">
        <v>1</v>
      </c>
      <c r="F371" t="s">
        <v>40</v>
      </c>
      <c r="G371">
        <v>3.5</v>
      </c>
      <c r="H371">
        <v>3.4</v>
      </c>
      <c r="I371">
        <f t="shared" si="5"/>
        <v>-0.10000000000000009</v>
      </c>
      <c r="J371">
        <v>15</v>
      </c>
      <c r="K371" t="s">
        <v>16</v>
      </c>
      <c r="L371">
        <v>3</v>
      </c>
      <c r="M371" t="s">
        <v>17</v>
      </c>
      <c r="N371" t="str">
        <f>IF(Table1[[#This Row],[Age]]&lt;20,"Teen",IF(Table1[[#This Row],[Age]]&lt;=22,"Young Adult","Adult"))</f>
        <v>Adult</v>
      </c>
    </row>
    <row r="372" spans="1:14" x14ac:dyDescent="0.35">
      <c r="A372" t="s">
        <v>417</v>
      </c>
      <c r="B372">
        <v>18</v>
      </c>
      <c r="C372" t="s">
        <v>13</v>
      </c>
      <c r="D372" t="s">
        <v>14</v>
      </c>
      <c r="E372">
        <v>8</v>
      </c>
      <c r="F372" t="s">
        <v>21</v>
      </c>
      <c r="G372">
        <v>2.91</v>
      </c>
      <c r="H372">
        <v>2.91</v>
      </c>
      <c r="I372">
        <f t="shared" si="5"/>
        <v>0</v>
      </c>
      <c r="J372">
        <v>10</v>
      </c>
      <c r="K372" t="s">
        <v>27</v>
      </c>
      <c r="L372">
        <v>6</v>
      </c>
      <c r="M372" t="s">
        <v>74</v>
      </c>
      <c r="N372" t="str">
        <f>IF(Table1[[#This Row],[Age]]&lt;20,"Teen",IF(Table1[[#This Row],[Age]]&lt;=22,"Young Adult","Adult"))</f>
        <v>Teen</v>
      </c>
    </row>
    <row r="373" spans="1:14" x14ac:dyDescent="0.35">
      <c r="A373" t="s">
        <v>418</v>
      </c>
      <c r="B373">
        <v>18</v>
      </c>
      <c r="C373" t="s">
        <v>30</v>
      </c>
      <c r="D373" t="s">
        <v>20</v>
      </c>
      <c r="E373">
        <v>6</v>
      </c>
      <c r="F373" t="s">
        <v>15</v>
      </c>
      <c r="G373">
        <v>3.67</v>
      </c>
      <c r="H373">
        <v>3.77</v>
      </c>
      <c r="I373">
        <f t="shared" si="5"/>
        <v>0.10000000000000009</v>
      </c>
      <c r="J373">
        <v>6</v>
      </c>
      <c r="K373" t="s">
        <v>32</v>
      </c>
      <c r="L373">
        <v>10</v>
      </c>
      <c r="M373" t="s">
        <v>74</v>
      </c>
      <c r="N373" t="str">
        <f>IF(Table1[[#This Row],[Age]]&lt;20,"Teen",IF(Table1[[#This Row],[Age]]&lt;=22,"Young Adult","Adult"))</f>
        <v>Teen</v>
      </c>
    </row>
    <row r="374" spans="1:14" x14ac:dyDescent="0.35">
      <c r="A374" t="s">
        <v>419</v>
      </c>
      <c r="B374">
        <v>22</v>
      </c>
      <c r="C374" t="s">
        <v>24</v>
      </c>
      <c r="D374" t="s">
        <v>20</v>
      </c>
      <c r="E374">
        <v>7</v>
      </c>
      <c r="F374" t="s">
        <v>21</v>
      </c>
      <c r="G374">
        <v>3.41</v>
      </c>
      <c r="H374">
        <v>3.41</v>
      </c>
      <c r="I374">
        <f t="shared" si="5"/>
        <v>0</v>
      </c>
      <c r="J374">
        <v>14</v>
      </c>
      <c r="K374" t="s">
        <v>27</v>
      </c>
      <c r="L374">
        <v>3</v>
      </c>
      <c r="M374" t="s">
        <v>64</v>
      </c>
      <c r="N374" t="str">
        <f>IF(Table1[[#This Row],[Age]]&lt;20,"Teen",IF(Table1[[#This Row],[Age]]&lt;=22,"Young Adult","Adult"))</f>
        <v>Young Adult</v>
      </c>
    </row>
    <row r="375" spans="1:14" x14ac:dyDescent="0.35">
      <c r="A375" t="s">
        <v>420</v>
      </c>
      <c r="B375">
        <v>18</v>
      </c>
      <c r="C375" t="s">
        <v>42</v>
      </c>
      <c r="D375" t="s">
        <v>20</v>
      </c>
      <c r="E375">
        <v>4</v>
      </c>
      <c r="F375" t="s">
        <v>21</v>
      </c>
      <c r="G375">
        <v>3.68</v>
      </c>
      <c r="H375">
        <v>3.58</v>
      </c>
      <c r="I375">
        <f t="shared" si="5"/>
        <v>-0.10000000000000009</v>
      </c>
      <c r="J375">
        <v>13</v>
      </c>
      <c r="K375" t="s">
        <v>32</v>
      </c>
      <c r="L375">
        <v>10</v>
      </c>
      <c r="M375" t="s">
        <v>48</v>
      </c>
      <c r="N375" t="str">
        <f>IF(Table1[[#This Row],[Age]]&lt;20,"Teen",IF(Table1[[#This Row],[Age]]&lt;=22,"Young Adult","Adult"))</f>
        <v>Teen</v>
      </c>
    </row>
    <row r="376" spans="1:14" x14ac:dyDescent="0.35">
      <c r="A376" t="s">
        <v>421</v>
      </c>
      <c r="B376">
        <v>18</v>
      </c>
      <c r="C376" t="s">
        <v>13</v>
      </c>
      <c r="D376" t="s">
        <v>25</v>
      </c>
      <c r="E376">
        <v>7</v>
      </c>
      <c r="F376" t="s">
        <v>40</v>
      </c>
      <c r="G376">
        <v>3.3</v>
      </c>
      <c r="H376">
        <v>3.2</v>
      </c>
      <c r="I376">
        <f t="shared" si="5"/>
        <v>-9.9999999999999645E-2</v>
      </c>
      <c r="J376">
        <v>7</v>
      </c>
      <c r="K376" t="s">
        <v>32</v>
      </c>
      <c r="L376">
        <v>5</v>
      </c>
      <c r="M376" t="s">
        <v>50</v>
      </c>
      <c r="N376" t="str">
        <f>IF(Table1[[#This Row],[Age]]&lt;20,"Teen",IF(Table1[[#This Row],[Age]]&lt;=22,"Young Adult","Adult"))</f>
        <v>Teen</v>
      </c>
    </row>
    <row r="377" spans="1:14" x14ac:dyDescent="0.35">
      <c r="A377" t="s">
        <v>422</v>
      </c>
      <c r="B377">
        <v>23</v>
      </c>
      <c r="C377" t="s">
        <v>13</v>
      </c>
      <c r="D377" t="s">
        <v>14</v>
      </c>
      <c r="E377">
        <v>5</v>
      </c>
      <c r="F377" t="s">
        <v>21</v>
      </c>
      <c r="G377">
        <v>3.46</v>
      </c>
      <c r="H377">
        <v>3.76</v>
      </c>
      <c r="I377">
        <f t="shared" si="5"/>
        <v>0.29999999999999982</v>
      </c>
      <c r="J377">
        <v>15</v>
      </c>
      <c r="K377" t="s">
        <v>32</v>
      </c>
      <c r="L377">
        <v>6</v>
      </c>
      <c r="M377" t="s">
        <v>45</v>
      </c>
      <c r="N377" t="str">
        <f>IF(Table1[[#This Row],[Age]]&lt;20,"Teen",IF(Table1[[#This Row],[Age]]&lt;=22,"Young Adult","Adult"))</f>
        <v>Adult</v>
      </c>
    </row>
    <row r="378" spans="1:14" x14ac:dyDescent="0.35">
      <c r="A378" t="s">
        <v>423</v>
      </c>
      <c r="B378">
        <v>21</v>
      </c>
      <c r="C378" t="s">
        <v>13</v>
      </c>
      <c r="D378" t="s">
        <v>31</v>
      </c>
      <c r="E378">
        <v>8</v>
      </c>
      <c r="F378" t="s">
        <v>15</v>
      </c>
      <c r="G378">
        <v>3.48</v>
      </c>
      <c r="H378">
        <v>3.38</v>
      </c>
      <c r="I378">
        <f t="shared" si="5"/>
        <v>-0.10000000000000009</v>
      </c>
      <c r="J378">
        <v>2</v>
      </c>
      <c r="K378" t="s">
        <v>27</v>
      </c>
      <c r="L378">
        <v>10</v>
      </c>
      <c r="M378" t="s">
        <v>64</v>
      </c>
      <c r="N378" t="str">
        <f>IF(Table1[[#This Row],[Age]]&lt;20,"Teen",IF(Table1[[#This Row],[Age]]&lt;=22,"Young Adult","Adult"))</f>
        <v>Young Adult</v>
      </c>
    </row>
    <row r="379" spans="1:14" x14ac:dyDescent="0.35">
      <c r="A379" t="s">
        <v>424</v>
      </c>
      <c r="B379">
        <v>25</v>
      </c>
      <c r="C379" t="s">
        <v>42</v>
      </c>
      <c r="D379" t="s">
        <v>31</v>
      </c>
      <c r="E379">
        <v>10</v>
      </c>
      <c r="F379" t="s">
        <v>40</v>
      </c>
      <c r="G379">
        <v>3.21</v>
      </c>
      <c r="H379">
        <v>3.51</v>
      </c>
      <c r="I379">
        <f t="shared" si="5"/>
        <v>0.29999999999999982</v>
      </c>
      <c r="J379">
        <v>3</v>
      </c>
      <c r="K379" t="s">
        <v>16</v>
      </c>
      <c r="L379">
        <v>4</v>
      </c>
      <c r="M379" t="s">
        <v>37</v>
      </c>
      <c r="N379" t="str">
        <f>IF(Table1[[#This Row],[Age]]&lt;20,"Teen",IF(Table1[[#This Row],[Age]]&lt;=22,"Young Adult","Adult"))</f>
        <v>Adult</v>
      </c>
    </row>
    <row r="380" spans="1:14" x14ac:dyDescent="0.35">
      <c r="A380" t="s">
        <v>425</v>
      </c>
      <c r="B380">
        <v>25</v>
      </c>
      <c r="C380" t="s">
        <v>30</v>
      </c>
      <c r="D380" t="s">
        <v>34</v>
      </c>
      <c r="E380">
        <v>8</v>
      </c>
      <c r="F380" t="s">
        <v>21</v>
      </c>
      <c r="G380">
        <v>3.34</v>
      </c>
      <c r="H380">
        <v>3.24</v>
      </c>
      <c r="I380">
        <f t="shared" si="5"/>
        <v>-9.9999999999999645E-2</v>
      </c>
      <c r="J380">
        <v>6</v>
      </c>
      <c r="K380" t="s">
        <v>32</v>
      </c>
      <c r="L380">
        <v>4</v>
      </c>
      <c r="M380" t="s">
        <v>87</v>
      </c>
      <c r="N380" t="str">
        <f>IF(Table1[[#This Row],[Age]]&lt;20,"Teen",IF(Table1[[#This Row],[Age]]&lt;=22,"Young Adult","Adult"))</f>
        <v>Adult</v>
      </c>
    </row>
    <row r="381" spans="1:14" x14ac:dyDescent="0.35">
      <c r="A381" t="s">
        <v>426</v>
      </c>
      <c r="B381">
        <v>23</v>
      </c>
      <c r="C381" t="s">
        <v>19</v>
      </c>
      <c r="D381" t="s">
        <v>31</v>
      </c>
      <c r="E381">
        <v>7</v>
      </c>
      <c r="F381" t="s">
        <v>40</v>
      </c>
      <c r="G381">
        <v>3.47</v>
      </c>
      <c r="H381">
        <v>3.67</v>
      </c>
      <c r="I381">
        <f t="shared" si="5"/>
        <v>0.19999999999999973</v>
      </c>
      <c r="J381">
        <v>5</v>
      </c>
      <c r="K381" t="s">
        <v>16</v>
      </c>
      <c r="L381">
        <v>9</v>
      </c>
      <c r="M381" t="s">
        <v>28</v>
      </c>
      <c r="N381" t="str">
        <f>IF(Table1[[#This Row],[Age]]&lt;20,"Teen",IF(Table1[[#This Row],[Age]]&lt;=22,"Young Adult","Adult"))</f>
        <v>Adult</v>
      </c>
    </row>
    <row r="382" spans="1:14" x14ac:dyDescent="0.35">
      <c r="A382" t="s">
        <v>427</v>
      </c>
      <c r="B382">
        <v>23</v>
      </c>
      <c r="C382" t="s">
        <v>42</v>
      </c>
      <c r="D382" t="s">
        <v>34</v>
      </c>
      <c r="E382">
        <v>7</v>
      </c>
      <c r="F382" t="s">
        <v>40</v>
      </c>
      <c r="G382">
        <v>3.67</v>
      </c>
      <c r="H382">
        <v>3.97</v>
      </c>
      <c r="I382">
        <f t="shared" si="5"/>
        <v>0.30000000000000027</v>
      </c>
      <c r="J382">
        <v>3</v>
      </c>
      <c r="K382" t="s">
        <v>16</v>
      </c>
      <c r="L382">
        <v>10</v>
      </c>
      <c r="M382" t="s">
        <v>45</v>
      </c>
      <c r="N382" t="str">
        <f>IF(Table1[[#This Row],[Age]]&lt;20,"Teen",IF(Table1[[#This Row],[Age]]&lt;=22,"Young Adult","Adult"))</f>
        <v>Adult</v>
      </c>
    </row>
    <row r="383" spans="1:14" x14ac:dyDescent="0.35">
      <c r="A383" t="s">
        <v>428</v>
      </c>
      <c r="B383">
        <v>21</v>
      </c>
      <c r="C383" t="s">
        <v>30</v>
      </c>
      <c r="D383" t="s">
        <v>31</v>
      </c>
      <c r="E383">
        <v>9</v>
      </c>
      <c r="F383" t="s">
        <v>21</v>
      </c>
      <c r="G383">
        <v>3.39</v>
      </c>
      <c r="H383">
        <v>3.29</v>
      </c>
      <c r="I383">
        <f t="shared" si="5"/>
        <v>-0.10000000000000009</v>
      </c>
      <c r="J383">
        <v>15</v>
      </c>
      <c r="K383" t="s">
        <v>16</v>
      </c>
      <c r="L383">
        <v>4</v>
      </c>
      <c r="M383" t="s">
        <v>37</v>
      </c>
      <c r="N383" t="str">
        <f>IF(Table1[[#This Row],[Age]]&lt;20,"Teen",IF(Table1[[#This Row],[Age]]&lt;=22,"Young Adult","Adult"))</f>
        <v>Young Adult</v>
      </c>
    </row>
    <row r="384" spans="1:14" x14ac:dyDescent="0.35">
      <c r="A384" t="s">
        <v>429</v>
      </c>
      <c r="B384">
        <v>23</v>
      </c>
      <c r="C384" t="s">
        <v>30</v>
      </c>
      <c r="D384" t="s">
        <v>34</v>
      </c>
      <c r="E384">
        <v>7</v>
      </c>
      <c r="F384" t="s">
        <v>15</v>
      </c>
      <c r="G384">
        <v>3.52</v>
      </c>
      <c r="H384">
        <v>3.62</v>
      </c>
      <c r="I384">
        <f t="shared" si="5"/>
        <v>0.10000000000000009</v>
      </c>
      <c r="J384">
        <v>4</v>
      </c>
      <c r="K384" t="s">
        <v>27</v>
      </c>
      <c r="L384">
        <v>10</v>
      </c>
      <c r="M384" t="s">
        <v>28</v>
      </c>
      <c r="N384" t="str">
        <f>IF(Table1[[#This Row],[Age]]&lt;20,"Teen",IF(Table1[[#This Row],[Age]]&lt;=22,"Young Adult","Adult"))</f>
        <v>Adult</v>
      </c>
    </row>
    <row r="385" spans="1:14" x14ac:dyDescent="0.35">
      <c r="A385" t="s">
        <v>430</v>
      </c>
      <c r="B385">
        <v>23</v>
      </c>
      <c r="C385" t="s">
        <v>19</v>
      </c>
      <c r="D385" t="s">
        <v>25</v>
      </c>
      <c r="E385">
        <v>5</v>
      </c>
      <c r="F385" t="s">
        <v>15</v>
      </c>
      <c r="G385">
        <v>3.06</v>
      </c>
      <c r="H385">
        <v>3.06</v>
      </c>
      <c r="I385">
        <f t="shared" si="5"/>
        <v>0</v>
      </c>
      <c r="J385">
        <v>6</v>
      </c>
      <c r="K385" t="s">
        <v>16</v>
      </c>
      <c r="L385">
        <v>4</v>
      </c>
      <c r="M385" t="s">
        <v>74</v>
      </c>
      <c r="N385" t="str">
        <f>IF(Table1[[#This Row],[Age]]&lt;20,"Teen",IF(Table1[[#This Row],[Age]]&lt;=22,"Young Adult","Adult"))</f>
        <v>Adult</v>
      </c>
    </row>
    <row r="386" spans="1:14" x14ac:dyDescent="0.35">
      <c r="A386" t="s">
        <v>431</v>
      </c>
      <c r="B386">
        <v>24</v>
      </c>
      <c r="C386" t="s">
        <v>19</v>
      </c>
      <c r="D386" t="s">
        <v>14</v>
      </c>
      <c r="E386">
        <v>2</v>
      </c>
      <c r="F386" t="s">
        <v>56</v>
      </c>
      <c r="G386">
        <v>2.6</v>
      </c>
      <c r="H386">
        <v>2.6</v>
      </c>
      <c r="I386">
        <f t="shared" si="5"/>
        <v>0</v>
      </c>
      <c r="J386">
        <v>11</v>
      </c>
      <c r="K386" t="s">
        <v>27</v>
      </c>
      <c r="L386">
        <v>6</v>
      </c>
      <c r="M386" t="s">
        <v>100</v>
      </c>
      <c r="N386" t="str">
        <f>IF(Table1[[#This Row],[Age]]&lt;20,"Teen",IF(Table1[[#This Row],[Age]]&lt;=22,"Young Adult","Adult"))</f>
        <v>Adult</v>
      </c>
    </row>
    <row r="387" spans="1:14" x14ac:dyDescent="0.35">
      <c r="A387" t="s">
        <v>432</v>
      </c>
      <c r="B387">
        <v>20</v>
      </c>
      <c r="C387" t="s">
        <v>42</v>
      </c>
      <c r="D387" t="s">
        <v>31</v>
      </c>
      <c r="E387">
        <v>6</v>
      </c>
      <c r="F387" t="s">
        <v>15</v>
      </c>
      <c r="G387">
        <v>3.13</v>
      </c>
      <c r="H387">
        <v>3.13</v>
      </c>
      <c r="I387">
        <f t="shared" ref="I387:I450" si="6">H387-G387</f>
        <v>0</v>
      </c>
      <c r="J387">
        <v>13</v>
      </c>
      <c r="K387" t="s">
        <v>27</v>
      </c>
      <c r="L387">
        <v>6</v>
      </c>
      <c r="M387" t="s">
        <v>50</v>
      </c>
      <c r="N387" t="str">
        <f>IF(Table1[[#This Row],[Age]]&lt;20,"Teen",IF(Table1[[#This Row],[Age]]&lt;=22,"Young Adult","Adult"))</f>
        <v>Young Adult</v>
      </c>
    </row>
    <row r="388" spans="1:14" x14ac:dyDescent="0.35">
      <c r="A388" t="s">
        <v>433</v>
      </c>
      <c r="B388">
        <v>23</v>
      </c>
      <c r="C388" t="s">
        <v>39</v>
      </c>
      <c r="D388" t="s">
        <v>31</v>
      </c>
      <c r="E388">
        <v>3</v>
      </c>
      <c r="F388" t="s">
        <v>40</v>
      </c>
      <c r="G388">
        <v>3.26</v>
      </c>
      <c r="H388">
        <v>3.16</v>
      </c>
      <c r="I388">
        <f t="shared" si="6"/>
        <v>-9.9999999999999645E-2</v>
      </c>
      <c r="J388">
        <v>11</v>
      </c>
      <c r="K388" t="s">
        <v>32</v>
      </c>
      <c r="L388">
        <v>7</v>
      </c>
      <c r="M388" t="s">
        <v>74</v>
      </c>
      <c r="N388" t="str">
        <f>IF(Table1[[#This Row],[Age]]&lt;20,"Teen",IF(Table1[[#This Row],[Age]]&lt;=22,"Young Adult","Adult"))</f>
        <v>Adult</v>
      </c>
    </row>
    <row r="389" spans="1:14" x14ac:dyDescent="0.35">
      <c r="A389" t="s">
        <v>434</v>
      </c>
      <c r="B389">
        <v>20</v>
      </c>
      <c r="C389" t="s">
        <v>24</v>
      </c>
      <c r="D389" t="s">
        <v>31</v>
      </c>
      <c r="E389">
        <v>5</v>
      </c>
      <c r="F389" t="s">
        <v>40</v>
      </c>
      <c r="G389">
        <v>3.95</v>
      </c>
      <c r="H389">
        <v>4</v>
      </c>
      <c r="I389">
        <f t="shared" si="6"/>
        <v>4.9999999999999822E-2</v>
      </c>
      <c r="J389">
        <v>4</v>
      </c>
      <c r="K389" t="s">
        <v>32</v>
      </c>
      <c r="L389">
        <v>10</v>
      </c>
      <c r="M389" t="s">
        <v>66</v>
      </c>
      <c r="N389" t="str">
        <f>IF(Table1[[#This Row],[Age]]&lt;20,"Teen",IF(Table1[[#This Row],[Age]]&lt;=22,"Young Adult","Adult"))</f>
        <v>Young Adult</v>
      </c>
    </row>
    <row r="390" spans="1:14" x14ac:dyDescent="0.35">
      <c r="A390" t="s">
        <v>435</v>
      </c>
      <c r="B390">
        <v>23</v>
      </c>
      <c r="C390" t="s">
        <v>19</v>
      </c>
      <c r="D390" t="s">
        <v>31</v>
      </c>
      <c r="E390">
        <v>1</v>
      </c>
      <c r="F390" t="s">
        <v>40</v>
      </c>
      <c r="G390">
        <v>2.68</v>
      </c>
      <c r="H390">
        <v>2.58</v>
      </c>
      <c r="I390">
        <f t="shared" si="6"/>
        <v>-0.10000000000000009</v>
      </c>
      <c r="J390">
        <v>3</v>
      </c>
      <c r="K390" t="s">
        <v>27</v>
      </c>
      <c r="L390">
        <v>8</v>
      </c>
      <c r="M390" t="s">
        <v>66</v>
      </c>
      <c r="N390" t="str">
        <f>IF(Table1[[#This Row],[Age]]&lt;20,"Teen",IF(Table1[[#This Row],[Age]]&lt;=22,"Young Adult","Adult"))</f>
        <v>Adult</v>
      </c>
    </row>
    <row r="391" spans="1:14" x14ac:dyDescent="0.35">
      <c r="A391" t="s">
        <v>436</v>
      </c>
      <c r="B391">
        <v>22</v>
      </c>
      <c r="C391" t="s">
        <v>24</v>
      </c>
      <c r="D391" t="s">
        <v>25</v>
      </c>
      <c r="E391">
        <v>3</v>
      </c>
      <c r="F391" t="s">
        <v>15</v>
      </c>
      <c r="G391">
        <v>3.89</v>
      </c>
      <c r="H391">
        <v>3.79</v>
      </c>
      <c r="I391">
        <f t="shared" si="6"/>
        <v>-0.10000000000000009</v>
      </c>
      <c r="J391">
        <v>4</v>
      </c>
      <c r="K391" t="s">
        <v>16</v>
      </c>
      <c r="L391">
        <v>5</v>
      </c>
      <c r="M391" t="s">
        <v>66</v>
      </c>
      <c r="N391" t="str">
        <f>IF(Table1[[#This Row],[Age]]&lt;20,"Teen",IF(Table1[[#This Row],[Age]]&lt;=22,"Young Adult","Adult"))</f>
        <v>Young Adult</v>
      </c>
    </row>
    <row r="392" spans="1:14" x14ac:dyDescent="0.35">
      <c r="A392" t="s">
        <v>437</v>
      </c>
      <c r="B392">
        <v>19</v>
      </c>
      <c r="C392" t="s">
        <v>30</v>
      </c>
      <c r="D392" t="s">
        <v>20</v>
      </c>
      <c r="E392">
        <v>5</v>
      </c>
      <c r="F392" t="s">
        <v>40</v>
      </c>
      <c r="G392">
        <v>3.99</v>
      </c>
      <c r="H392">
        <v>3.89</v>
      </c>
      <c r="I392">
        <f t="shared" si="6"/>
        <v>-0.10000000000000009</v>
      </c>
      <c r="J392">
        <v>7</v>
      </c>
      <c r="K392" t="s">
        <v>16</v>
      </c>
      <c r="L392">
        <v>9</v>
      </c>
      <c r="M392" t="s">
        <v>45</v>
      </c>
      <c r="N392" t="str">
        <f>IF(Table1[[#This Row],[Age]]&lt;20,"Teen",IF(Table1[[#This Row],[Age]]&lt;=22,"Young Adult","Adult"))</f>
        <v>Teen</v>
      </c>
    </row>
    <row r="393" spans="1:14" x14ac:dyDescent="0.35">
      <c r="A393" t="s">
        <v>438</v>
      </c>
      <c r="B393">
        <v>19</v>
      </c>
      <c r="C393" t="s">
        <v>24</v>
      </c>
      <c r="D393" t="s">
        <v>25</v>
      </c>
      <c r="E393">
        <v>8</v>
      </c>
      <c r="F393" t="s">
        <v>56</v>
      </c>
      <c r="G393">
        <v>3</v>
      </c>
      <c r="H393">
        <v>3.1</v>
      </c>
      <c r="I393">
        <f t="shared" si="6"/>
        <v>0.10000000000000009</v>
      </c>
      <c r="J393">
        <v>11</v>
      </c>
      <c r="K393" t="s">
        <v>32</v>
      </c>
      <c r="L393">
        <v>9</v>
      </c>
      <c r="M393" t="s">
        <v>37</v>
      </c>
      <c r="N393" t="str">
        <f>IF(Table1[[#This Row],[Age]]&lt;20,"Teen",IF(Table1[[#This Row],[Age]]&lt;=22,"Young Adult","Adult"))</f>
        <v>Teen</v>
      </c>
    </row>
    <row r="394" spans="1:14" x14ac:dyDescent="0.35">
      <c r="A394" t="s">
        <v>439</v>
      </c>
      <c r="B394">
        <v>23</v>
      </c>
      <c r="C394" t="s">
        <v>30</v>
      </c>
      <c r="D394" t="s">
        <v>14</v>
      </c>
      <c r="E394">
        <v>3</v>
      </c>
      <c r="F394" t="s">
        <v>40</v>
      </c>
      <c r="G394">
        <v>3.44</v>
      </c>
      <c r="H394">
        <v>3.54</v>
      </c>
      <c r="I394">
        <f t="shared" si="6"/>
        <v>0.10000000000000009</v>
      </c>
      <c r="J394">
        <v>12</v>
      </c>
      <c r="K394" t="s">
        <v>27</v>
      </c>
      <c r="L394">
        <v>7</v>
      </c>
      <c r="M394" t="s">
        <v>60</v>
      </c>
      <c r="N394" t="str">
        <f>IF(Table1[[#This Row],[Age]]&lt;20,"Teen",IF(Table1[[#This Row],[Age]]&lt;=22,"Young Adult","Adult"))</f>
        <v>Adult</v>
      </c>
    </row>
    <row r="395" spans="1:14" x14ac:dyDescent="0.35">
      <c r="A395" t="s">
        <v>440</v>
      </c>
      <c r="B395">
        <v>19</v>
      </c>
      <c r="C395" t="s">
        <v>24</v>
      </c>
      <c r="D395" t="s">
        <v>14</v>
      </c>
      <c r="E395">
        <v>8</v>
      </c>
      <c r="F395" t="s">
        <v>40</v>
      </c>
      <c r="G395">
        <v>2.72</v>
      </c>
      <c r="H395">
        <v>2.62</v>
      </c>
      <c r="I395">
        <f t="shared" si="6"/>
        <v>-0.10000000000000009</v>
      </c>
      <c r="J395">
        <v>2</v>
      </c>
      <c r="K395" t="s">
        <v>27</v>
      </c>
      <c r="L395">
        <v>9</v>
      </c>
      <c r="M395" t="s">
        <v>74</v>
      </c>
      <c r="N395" t="str">
        <f>IF(Table1[[#This Row],[Age]]&lt;20,"Teen",IF(Table1[[#This Row],[Age]]&lt;=22,"Young Adult","Adult"))</f>
        <v>Teen</v>
      </c>
    </row>
    <row r="396" spans="1:14" x14ac:dyDescent="0.35">
      <c r="A396" t="s">
        <v>441</v>
      </c>
      <c r="B396">
        <v>19</v>
      </c>
      <c r="C396" t="s">
        <v>19</v>
      </c>
      <c r="D396" t="s">
        <v>31</v>
      </c>
      <c r="E396">
        <v>10</v>
      </c>
      <c r="F396" t="s">
        <v>26</v>
      </c>
      <c r="G396">
        <v>2.62</v>
      </c>
      <c r="H396">
        <v>2.62</v>
      </c>
      <c r="I396">
        <f t="shared" si="6"/>
        <v>0</v>
      </c>
      <c r="J396">
        <v>4</v>
      </c>
      <c r="K396" t="s">
        <v>16</v>
      </c>
      <c r="L396">
        <v>8</v>
      </c>
      <c r="M396" t="s">
        <v>37</v>
      </c>
      <c r="N396" t="str">
        <f>IF(Table1[[#This Row],[Age]]&lt;20,"Teen",IF(Table1[[#This Row],[Age]]&lt;=22,"Young Adult","Adult"))</f>
        <v>Teen</v>
      </c>
    </row>
    <row r="397" spans="1:14" x14ac:dyDescent="0.35">
      <c r="A397" t="s">
        <v>442</v>
      </c>
      <c r="B397">
        <v>22</v>
      </c>
      <c r="C397" t="s">
        <v>19</v>
      </c>
      <c r="D397" t="s">
        <v>25</v>
      </c>
      <c r="E397">
        <v>9</v>
      </c>
      <c r="F397" t="s">
        <v>56</v>
      </c>
      <c r="G397">
        <v>2.73</v>
      </c>
      <c r="H397">
        <v>2.83</v>
      </c>
      <c r="I397">
        <f t="shared" si="6"/>
        <v>0.10000000000000009</v>
      </c>
      <c r="J397">
        <v>12</v>
      </c>
      <c r="K397" t="s">
        <v>32</v>
      </c>
      <c r="L397">
        <v>4</v>
      </c>
      <c r="M397" t="s">
        <v>45</v>
      </c>
      <c r="N397" t="str">
        <f>IF(Table1[[#This Row],[Age]]&lt;20,"Teen",IF(Table1[[#This Row],[Age]]&lt;=22,"Young Adult","Adult"))</f>
        <v>Young Adult</v>
      </c>
    </row>
    <row r="398" spans="1:14" x14ac:dyDescent="0.35">
      <c r="A398" t="s">
        <v>443</v>
      </c>
      <c r="B398">
        <v>25</v>
      </c>
      <c r="C398" t="s">
        <v>24</v>
      </c>
      <c r="D398" t="s">
        <v>14</v>
      </c>
      <c r="E398">
        <v>1</v>
      </c>
      <c r="F398" t="s">
        <v>40</v>
      </c>
      <c r="G398">
        <v>3.46</v>
      </c>
      <c r="H398">
        <v>3.36</v>
      </c>
      <c r="I398">
        <f t="shared" si="6"/>
        <v>-0.10000000000000009</v>
      </c>
      <c r="J398">
        <v>11</v>
      </c>
      <c r="K398" t="s">
        <v>16</v>
      </c>
      <c r="L398">
        <v>1</v>
      </c>
      <c r="M398" t="s">
        <v>35</v>
      </c>
      <c r="N398" t="str">
        <f>IF(Table1[[#This Row],[Age]]&lt;20,"Teen",IF(Table1[[#This Row],[Age]]&lt;=22,"Young Adult","Adult"))</f>
        <v>Adult</v>
      </c>
    </row>
    <row r="399" spans="1:14" x14ac:dyDescent="0.35">
      <c r="A399" t="s">
        <v>444</v>
      </c>
      <c r="B399">
        <v>24</v>
      </c>
      <c r="C399" t="s">
        <v>24</v>
      </c>
      <c r="D399" t="s">
        <v>25</v>
      </c>
      <c r="E399">
        <v>6</v>
      </c>
      <c r="F399" t="s">
        <v>56</v>
      </c>
      <c r="G399">
        <v>3.23</v>
      </c>
      <c r="H399">
        <v>3.23</v>
      </c>
      <c r="I399">
        <f t="shared" si="6"/>
        <v>0</v>
      </c>
      <c r="J399">
        <v>8</v>
      </c>
      <c r="K399" t="s">
        <v>16</v>
      </c>
      <c r="L399">
        <v>10</v>
      </c>
      <c r="M399" t="s">
        <v>50</v>
      </c>
      <c r="N399" t="str">
        <f>IF(Table1[[#This Row],[Age]]&lt;20,"Teen",IF(Table1[[#This Row],[Age]]&lt;=22,"Young Adult","Adult"))</f>
        <v>Adult</v>
      </c>
    </row>
    <row r="400" spans="1:14" x14ac:dyDescent="0.35">
      <c r="A400" t="s">
        <v>445</v>
      </c>
      <c r="B400">
        <v>22</v>
      </c>
      <c r="C400" t="s">
        <v>42</v>
      </c>
      <c r="D400" t="s">
        <v>20</v>
      </c>
      <c r="E400">
        <v>8</v>
      </c>
      <c r="F400" t="s">
        <v>21</v>
      </c>
      <c r="G400">
        <v>3.77</v>
      </c>
      <c r="H400">
        <v>3.87</v>
      </c>
      <c r="I400">
        <f t="shared" si="6"/>
        <v>0.10000000000000009</v>
      </c>
      <c r="J400">
        <v>5</v>
      </c>
      <c r="K400" t="s">
        <v>27</v>
      </c>
      <c r="L400">
        <v>9</v>
      </c>
      <c r="M400" t="s">
        <v>60</v>
      </c>
      <c r="N400" t="str">
        <f>IF(Table1[[#This Row],[Age]]&lt;20,"Teen",IF(Table1[[#This Row],[Age]]&lt;=22,"Young Adult","Adult"))</f>
        <v>Young Adult</v>
      </c>
    </row>
    <row r="401" spans="1:14" x14ac:dyDescent="0.35">
      <c r="A401" t="s">
        <v>446</v>
      </c>
      <c r="B401">
        <v>25</v>
      </c>
      <c r="C401" t="s">
        <v>42</v>
      </c>
      <c r="D401" t="s">
        <v>31</v>
      </c>
      <c r="E401">
        <v>10</v>
      </c>
      <c r="F401" t="s">
        <v>56</v>
      </c>
      <c r="G401">
        <v>3.84</v>
      </c>
      <c r="H401">
        <v>3.84</v>
      </c>
      <c r="I401">
        <f t="shared" si="6"/>
        <v>0</v>
      </c>
      <c r="J401">
        <v>15</v>
      </c>
      <c r="K401" t="s">
        <v>32</v>
      </c>
      <c r="L401">
        <v>2</v>
      </c>
      <c r="M401" t="s">
        <v>66</v>
      </c>
      <c r="N401" t="str">
        <f>IF(Table1[[#This Row],[Age]]&lt;20,"Teen",IF(Table1[[#This Row],[Age]]&lt;=22,"Young Adult","Adult"))</f>
        <v>Adult</v>
      </c>
    </row>
    <row r="402" spans="1:14" x14ac:dyDescent="0.35">
      <c r="A402" t="s">
        <v>447</v>
      </c>
      <c r="B402">
        <v>25</v>
      </c>
      <c r="C402" t="s">
        <v>30</v>
      </c>
      <c r="D402" t="s">
        <v>31</v>
      </c>
      <c r="E402">
        <v>10</v>
      </c>
      <c r="F402" t="s">
        <v>56</v>
      </c>
      <c r="G402">
        <v>3.8</v>
      </c>
      <c r="H402">
        <v>4</v>
      </c>
      <c r="I402">
        <f t="shared" si="6"/>
        <v>0.20000000000000018</v>
      </c>
      <c r="J402">
        <v>3</v>
      </c>
      <c r="K402" t="s">
        <v>16</v>
      </c>
      <c r="L402">
        <v>2</v>
      </c>
      <c r="M402" t="s">
        <v>37</v>
      </c>
      <c r="N402" t="str">
        <f>IF(Table1[[#This Row],[Age]]&lt;20,"Teen",IF(Table1[[#This Row],[Age]]&lt;=22,"Young Adult","Adult"))</f>
        <v>Adult</v>
      </c>
    </row>
    <row r="403" spans="1:14" x14ac:dyDescent="0.35">
      <c r="A403" t="s">
        <v>448</v>
      </c>
      <c r="B403">
        <v>20</v>
      </c>
      <c r="C403" t="s">
        <v>19</v>
      </c>
      <c r="D403" t="s">
        <v>31</v>
      </c>
      <c r="E403">
        <v>8</v>
      </c>
      <c r="F403" t="s">
        <v>56</v>
      </c>
      <c r="G403">
        <v>3.97</v>
      </c>
      <c r="H403">
        <v>4</v>
      </c>
      <c r="I403">
        <f t="shared" si="6"/>
        <v>2.9999999999999805E-2</v>
      </c>
      <c r="J403">
        <v>4</v>
      </c>
      <c r="K403" t="s">
        <v>32</v>
      </c>
      <c r="L403">
        <v>5</v>
      </c>
      <c r="M403" t="s">
        <v>22</v>
      </c>
      <c r="N403" t="str">
        <f>IF(Table1[[#This Row],[Age]]&lt;20,"Teen",IF(Table1[[#This Row],[Age]]&lt;=22,"Young Adult","Adult"))</f>
        <v>Young Adult</v>
      </c>
    </row>
    <row r="404" spans="1:14" x14ac:dyDescent="0.35">
      <c r="A404" t="s">
        <v>449</v>
      </c>
      <c r="B404">
        <v>20</v>
      </c>
      <c r="C404" t="s">
        <v>39</v>
      </c>
      <c r="D404" t="s">
        <v>25</v>
      </c>
      <c r="E404">
        <v>10</v>
      </c>
      <c r="F404" t="s">
        <v>21</v>
      </c>
      <c r="G404">
        <v>3.14</v>
      </c>
      <c r="H404">
        <v>3.24</v>
      </c>
      <c r="I404">
        <f t="shared" si="6"/>
        <v>0.10000000000000009</v>
      </c>
      <c r="J404">
        <v>9</v>
      </c>
      <c r="K404" t="s">
        <v>27</v>
      </c>
      <c r="L404">
        <v>9</v>
      </c>
      <c r="M404" t="s">
        <v>37</v>
      </c>
      <c r="N404" t="str">
        <f>IF(Table1[[#This Row],[Age]]&lt;20,"Teen",IF(Table1[[#This Row],[Age]]&lt;=22,"Young Adult","Adult"))</f>
        <v>Young Adult</v>
      </c>
    </row>
    <row r="405" spans="1:14" x14ac:dyDescent="0.35">
      <c r="A405" t="s">
        <v>450</v>
      </c>
      <c r="B405">
        <v>25</v>
      </c>
      <c r="C405" t="s">
        <v>39</v>
      </c>
      <c r="D405" t="s">
        <v>34</v>
      </c>
      <c r="E405">
        <v>4</v>
      </c>
      <c r="F405" t="s">
        <v>56</v>
      </c>
      <c r="G405">
        <v>2.7</v>
      </c>
      <c r="H405">
        <v>2.9</v>
      </c>
      <c r="I405">
        <f t="shared" si="6"/>
        <v>0.19999999999999973</v>
      </c>
      <c r="J405">
        <v>2</v>
      </c>
      <c r="K405" t="s">
        <v>32</v>
      </c>
      <c r="L405">
        <v>5</v>
      </c>
      <c r="M405" t="s">
        <v>48</v>
      </c>
      <c r="N405" t="str">
        <f>IF(Table1[[#This Row],[Age]]&lt;20,"Teen",IF(Table1[[#This Row],[Age]]&lt;=22,"Young Adult","Adult"))</f>
        <v>Adult</v>
      </c>
    </row>
    <row r="406" spans="1:14" x14ac:dyDescent="0.35">
      <c r="A406" t="s">
        <v>451</v>
      </c>
      <c r="B406">
        <v>23</v>
      </c>
      <c r="C406" t="s">
        <v>13</v>
      </c>
      <c r="D406" t="s">
        <v>20</v>
      </c>
      <c r="E406">
        <v>9</v>
      </c>
      <c r="F406" t="s">
        <v>56</v>
      </c>
      <c r="G406">
        <v>2.74</v>
      </c>
      <c r="H406">
        <v>2.64</v>
      </c>
      <c r="I406">
        <f t="shared" si="6"/>
        <v>-0.10000000000000009</v>
      </c>
      <c r="J406">
        <v>14</v>
      </c>
      <c r="K406" t="s">
        <v>27</v>
      </c>
      <c r="L406">
        <v>1</v>
      </c>
      <c r="M406" t="s">
        <v>17</v>
      </c>
      <c r="N406" t="str">
        <f>IF(Table1[[#This Row],[Age]]&lt;20,"Teen",IF(Table1[[#This Row],[Age]]&lt;=22,"Young Adult","Adult"))</f>
        <v>Adult</v>
      </c>
    </row>
    <row r="407" spans="1:14" x14ac:dyDescent="0.35">
      <c r="A407" t="s">
        <v>452</v>
      </c>
      <c r="B407">
        <v>24</v>
      </c>
      <c r="C407" t="s">
        <v>42</v>
      </c>
      <c r="D407" t="s">
        <v>14</v>
      </c>
      <c r="E407">
        <v>8</v>
      </c>
      <c r="F407" t="s">
        <v>40</v>
      </c>
      <c r="G407">
        <v>3.06</v>
      </c>
      <c r="H407">
        <v>3.36</v>
      </c>
      <c r="I407">
        <f t="shared" si="6"/>
        <v>0.29999999999999982</v>
      </c>
      <c r="J407">
        <v>8</v>
      </c>
      <c r="K407" t="s">
        <v>27</v>
      </c>
      <c r="L407">
        <v>6</v>
      </c>
      <c r="M407" t="s">
        <v>50</v>
      </c>
      <c r="N407" t="str">
        <f>IF(Table1[[#This Row],[Age]]&lt;20,"Teen",IF(Table1[[#This Row],[Age]]&lt;=22,"Young Adult","Adult"))</f>
        <v>Adult</v>
      </c>
    </row>
    <row r="408" spans="1:14" x14ac:dyDescent="0.35">
      <c r="A408" t="s">
        <v>453</v>
      </c>
      <c r="B408">
        <v>24</v>
      </c>
      <c r="C408" t="s">
        <v>39</v>
      </c>
      <c r="D408" t="s">
        <v>14</v>
      </c>
      <c r="E408">
        <v>10</v>
      </c>
      <c r="F408" t="s">
        <v>40</v>
      </c>
      <c r="G408">
        <v>3.4</v>
      </c>
      <c r="H408">
        <v>3.5</v>
      </c>
      <c r="I408">
        <f t="shared" si="6"/>
        <v>0.10000000000000009</v>
      </c>
      <c r="J408">
        <v>6</v>
      </c>
      <c r="K408" t="s">
        <v>32</v>
      </c>
      <c r="L408">
        <v>10</v>
      </c>
      <c r="M408" t="s">
        <v>28</v>
      </c>
      <c r="N408" t="str">
        <f>IF(Table1[[#This Row],[Age]]&lt;20,"Teen",IF(Table1[[#This Row],[Age]]&lt;=22,"Young Adult","Adult"))</f>
        <v>Adult</v>
      </c>
    </row>
    <row r="409" spans="1:14" x14ac:dyDescent="0.35">
      <c r="A409" t="s">
        <v>454</v>
      </c>
      <c r="B409">
        <v>21</v>
      </c>
      <c r="C409" t="s">
        <v>24</v>
      </c>
      <c r="D409" t="s">
        <v>34</v>
      </c>
      <c r="E409">
        <v>3</v>
      </c>
      <c r="F409" t="s">
        <v>40</v>
      </c>
      <c r="G409">
        <v>2.57</v>
      </c>
      <c r="H409">
        <v>2.4700000000000002</v>
      </c>
      <c r="I409">
        <f t="shared" si="6"/>
        <v>-9.9999999999999645E-2</v>
      </c>
      <c r="J409">
        <v>13</v>
      </c>
      <c r="K409" t="s">
        <v>27</v>
      </c>
      <c r="L409">
        <v>6</v>
      </c>
      <c r="M409" t="s">
        <v>17</v>
      </c>
      <c r="N409" t="str">
        <f>IF(Table1[[#This Row],[Age]]&lt;20,"Teen",IF(Table1[[#This Row],[Age]]&lt;=22,"Young Adult","Adult"))</f>
        <v>Young Adult</v>
      </c>
    </row>
    <row r="410" spans="1:14" x14ac:dyDescent="0.35">
      <c r="A410" t="s">
        <v>455</v>
      </c>
      <c r="B410">
        <v>19</v>
      </c>
      <c r="C410" t="s">
        <v>39</v>
      </c>
      <c r="D410" t="s">
        <v>25</v>
      </c>
      <c r="E410">
        <v>5</v>
      </c>
      <c r="F410" t="s">
        <v>21</v>
      </c>
      <c r="G410">
        <v>3.69</v>
      </c>
      <c r="H410">
        <v>3.89</v>
      </c>
      <c r="I410">
        <f t="shared" si="6"/>
        <v>0.20000000000000018</v>
      </c>
      <c r="J410">
        <v>14</v>
      </c>
      <c r="K410" t="s">
        <v>32</v>
      </c>
      <c r="L410">
        <v>10</v>
      </c>
      <c r="M410" t="s">
        <v>28</v>
      </c>
      <c r="N410" t="str">
        <f>IF(Table1[[#This Row],[Age]]&lt;20,"Teen",IF(Table1[[#This Row],[Age]]&lt;=22,"Young Adult","Adult"))</f>
        <v>Teen</v>
      </c>
    </row>
    <row r="411" spans="1:14" x14ac:dyDescent="0.35">
      <c r="A411" t="s">
        <v>456</v>
      </c>
      <c r="B411">
        <v>18</v>
      </c>
      <c r="C411" t="s">
        <v>19</v>
      </c>
      <c r="D411" t="s">
        <v>34</v>
      </c>
      <c r="E411">
        <v>10</v>
      </c>
      <c r="F411" t="s">
        <v>15</v>
      </c>
      <c r="G411">
        <v>3.39</v>
      </c>
      <c r="H411">
        <v>3.59</v>
      </c>
      <c r="I411">
        <f t="shared" si="6"/>
        <v>0.19999999999999973</v>
      </c>
      <c r="J411">
        <v>8</v>
      </c>
      <c r="K411" t="s">
        <v>16</v>
      </c>
      <c r="L411">
        <v>3</v>
      </c>
      <c r="M411" t="s">
        <v>64</v>
      </c>
      <c r="N411" t="str">
        <f>IF(Table1[[#This Row],[Age]]&lt;20,"Teen",IF(Table1[[#This Row],[Age]]&lt;=22,"Young Adult","Adult"))</f>
        <v>Teen</v>
      </c>
    </row>
    <row r="412" spans="1:14" x14ac:dyDescent="0.35">
      <c r="A412" t="s">
        <v>457</v>
      </c>
      <c r="B412">
        <v>18</v>
      </c>
      <c r="C412" t="s">
        <v>42</v>
      </c>
      <c r="D412" t="s">
        <v>20</v>
      </c>
      <c r="E412">
        <v>2</v>
      </c>
      <c r="F412" t="s">
        <v>56</v>
      </c>
      <c r="G412">
        <v>3.36</v>
      </c>
      <c r="H412">
        <v>3.46</v>
      </c>
      <c r="I412">
        <f t="shared" si="6"/>
        <v>0.10000000000000009</v>
      </c>
      <c r="J412">
        <v>4</v>
      </c>
      <c r="K412" t="s">
        <v>32</v>
      </c>
      <c r="L412">
        <v>7</v>
      </c>
      <c r="M412" t="s">
        <v>74</v>
      </c>
      <c r="N412" t="str">
        <f>IF(Table1[[#This Row],[Age]]&lt;20,"Teen",IF(Table1[[#This Row],[Age]]&lt;=22,"Young Adult","Adult"))</f>
        <v>Teen</v>
      </c>
    </row>
    <row r="413" spans="1:14" x14ac:dyDescent="0.35">
      <c r="A413" t="s">
        <v>458</v>
      </c>
      <c r="B413">
        <v>18</v>
      </c>
      <c r="C413" t="s">
        <v>42</v>
      </c>
      <c r="D413" t="s">
        <v>25</v>
      </c>
      <c r="E413">
        <v>8</v>
      </c>
      <c r="F413" t="s">
        <v>15</v>
      </c>
      <c r="G413">
        <v>3.79</v>
      </c>
      <c r="H413">
        <v>3.79</v>
      </c>
      <c r="I413">
        <f t="shared" si="6"/>
        <v>0</v>
      </c>
      <c r="J413">
        <v>7</v>
      </c>
      <c r="K413" t="s">
        <v>32</v>
      </c>
      <c r="L413">
        <v>10</v>
      </c>
      <c r="M413" t="s">
        <v>52</v>
      </c>
      <c r="N413" t="str">
        <f>IF(Table1[[#This Row],[Age]]&lt;20,"Teen",IF(Table1[[#This Row],[Age]]&lt;=22,"Young Adult","Adult"))</f>
        <v>Teen</v>
      </c>
    </row>
    <row r="414" spans="1:14" x14ac:dyDescent="0.35">
      <c r="A414" t="s">
        <v>459</v>
      </c>
      <c r="B414">
        <v>20</v>
      </c>
      <c r="C414" t="s">
        <v>30</v>
      </c>
      <c r="D414" t="s">
        <v>34</v>
      </c>
      <c r="E414">
        <v>4</v>
      </c>
      <c r="F414" t="s">
        <v>40</v>
      </c>
      <c r="G414">
        <v>2.72</v>
      </c>
      <c r="H414">
        <v>3.02</v>
      </c>
      <c r="I414">
        <f t="shared" si="6"/>
        <v>0.29999999999999982</v>
      </c>
      <c r="J414">
        <v>7</v>
      </c>
      <c r="K414" t="s">
        <v>16</v>
      </c>
      <c r="L414">
        <v>6</v>
      </c>
      <c r="M414" t="s">
        <v>22</v>
      </c>
      <c r="N414" t="str">
        <f>IF(Table1[[#This Row],[Age]]&lt;20,"Teen",IF(Table1[[#This Row],[Age]]&lt;=22,"Young Adult","Adult"))</f>
        <v>Young Adult</v>
      </c>
    </row>
    <row r="415" spans="1:14" x14ac:dyDescent="0.35">
      <c r="A415" t="s">
        <v>460</v>
      </c>
      <c r="B415">
        <v>24</v>
      </c>
      <c r="C415" t="s">
        <v>19</v>
      </c>
      <c r="D415" t="s">
        <v>25</v>
      </c>
      <c r="E415">
        <v>4</v>
      </c>
      <c r="F415" t="s">
        <v>15</v>
      </c>
      <c r="G415">
        <v>2.67</v>
      </c>
      <c r="H415">
        <v>2.67</v>
      </c>
      <c r="I415">
        <f t="shared" si="6"/>
        <v>0</v>
      </c>
      <c r="J415">
        <v>7</v>
      </c>
      <c r="K415" t="s">
        <v>32</v>
      </c>
      <c r="L415">
        <v>7</v>
      </c>
      <c r="M415" t="s">
        <v>52</v>
      </c>
      <c r="N415" t="str">
        <f>IF(Table1[[#This Row],[Age]]&lt;20,"Teen",IF(Table1[[#This Row],[Age]]&lt;=22,"Young Adult","Adult"))</f>
        <v>Adult</v>
      </c>
    </row>
    <row r="416" spans="1:14" x14ac:dyDescent="0.35">
      <c r="A416" t="s">
        <v>461</v>
      </c>
      <c r="B416">
        <v>23</v>
      </c>
      <c r="C416" t="s">
        <v>19</v>
      </c>
      <c r="D416" t="s">
        <v>34</v>
      </c>
      <c r="E416">
        <v>6</v>
      </c>
      <c r="F416" t="s">
        <v>56</v>
      </c>
      <c r="G416">
        <v>2.64</v>
      </c>
      <c r="H416">
        <v>2.84</v>
      </c>
      <c r="I416">
        <f t="shared" si="6"/>
        <v>0.19999999999999973</v>
      </c>
      <c r="J416">
        <v>5</v>
      </c>
      <c r="K416" t="s">
        <v>16</v>
      </c>
      <c r="L416">
        <v>4</v>
      </c>
      <c r="M416" t="s">
        <v>60</v>
      </c>
      <c r="N416" t="str">
        <f>IF(Table1[[#This Row],[Age]]&lt;20,"Teen",IF(Table1[[#This Row],[Age]]&lt;=22,"Young Adult","Adult"))</f>
        <v>Adult</v>
      </c>
    </row>
    <row r="417" spans="1:14" x14ac:dyDescent="0.35">
      <c r="A417" t="s">
        <v>462</v>
      </c>
      <c r="B417">
        <v>20</v>
      </c>
      <c r="C417" t="s">
        <v>24</v>
      </c>
      <c r="D417" t="s">
        <v>34</v>
      </c>
      <c r="E417">
        <v>8</v>
      </c>
      <c r="F417" t="s">
        <v>21</v>
      </c>
      <c r="G417">
        <v>3.86</v>
      </c>
      <c r="H417">
        <v>3.86</v>
      </c>
      <c r="I417">
        <f t="shared" si="6"/>
        <v>0</v>
      </c>
      <c r="J417">
        <v>11</v>
      </c>
      <c r="K417" t="s">
        <v>32</v>
      </c>
      <c r="L417">
        <v>9</v>
      </c>
      <c r="M417" t="s">
        <v>50</v>
      </c>
      <c r="N417" t="str">
        <f>IF(Table1[[#This Row],[Age]]&lt;20,"Teen",IF(Table1[[#This Row],[Age]]&lt;=22,"Young Adult","Adult"))</f>
        <v>Young Adult</v>
      </c>
    </row>
    <row r="418" spans="1:14" x14ac:dyDescent="0.35">
      <c r="A418" t="s">
        <v>463</v>
      </c>
      <c r="B418">
        <v>24</v>
      </c>
      <c r="C418" t="s">
        <v>42</v>
      </c>
      <c r="D418" t="s">
        <v>14</v>
      </c>
      <c r="E418">
        <v>9</v>
      </c>
      <c r="F418" t="s">
        <v>15</v>
      </c>
      <c r="G418">
        <v>3.38</v>
      </c>
      <c r="H418">
        <v>3.48</v>
      </c>
      <c r="I418">
        <f t="shared" si="6"/>
        <v>0.10000000000000009</v>
      </c>
      <c r="J418">
        <v>14</v>
      </c>
      <c r="K418" t="s">
        <v>27</v>
      </c>
      <c r="L418">
        <v>9</v>
      </c>
      <c r="M418" t="s">
        <v>45</v>
      </c>
      <c r="N418" t="str">
        <f>IF(Table1[[#This Row],[Age]]&lt;20,"Teen",IF(Table1[[#This Row],[Age]]&lt;=22,"Young Adult","Adult"))</f>
        <v>Adult</v>
      </c>
    </row>
    <row r="419" spans="1:14" x14ac:dyDescent="0.35">
      <c r="A419" t="s">
        <v>464</v>
      </c>
      <c r="B419">
        <v>25</v>
      </c>
      <c r="C419" t="s">
        <v>24</v>
      </c>
      <c r="D419" t="s">
        <v>31</v>
      </c>
      <c r="E419">
        <v>2</v>
      </c>
      <c r="F419" t="s">
        <v>26</v>
      </c>
      <c r="G419">
        <v>3.34</v>
      </c>
      <c r="H419">
        <v>3.24</v>
      </c>
      <c r="I419">
        <f t="shared" si="6"/>
        <v>-9.9999999999999645E-2</v>
      </c>
      <c r="J419">
        <v>11</v>
      </c>
      <c r="K419" t="s">
        <v>27</v>
      </c>
      <c r="L419">
        <v>5</v>
      </c>
      <c r="M419" t="s">
        <v>35</v>
      </c>
      <c r="N419" t="str">
        <f>IF(Table1[[#This Row],[Age]]&lt;20,"Teen",IF(Table1[[#This Row],[Age]]&lt;=22,"Young Adult","Adult"))</f>
        <v>Adult</v>
      </c>
    </row>
    <row r="420" spans="1:14" x14ac:dyDescent="0.35">
      <c r="A420" t="s">
        <v>465</v>
      </c>
      <c r="B420">
        <v>25</v>
      </c>
      <c r="C420" t="s">
        <v>13</v>
      </c>
      <c r="D420" t="s">
        <v>31</v>
      </c>
      <c r="E420">
        <v>5</v>
      </c>
      <c r="F420" t="s">
        <v>21</v>
      </c>
      <c r="G420">
        <v>3.81</v>
      </c>
      <c r="H420">
        <v>4</v>
      </c>
      <c r="I420">
        <f t="shared" si="6"/>
        <v>0.18999999999999995</v>
      </c>
      <c r="J420">
        <v>13</v>
      </c>
      <c r="K420" t="s">
        <v>32</v>
      </c>
      <c r="L420">
        <v>1</v>
      </c>
      <c r="M420" t="s">
        <v>74</v>
      </c>
      <c r="N420" t="str">
        <f>IF(Table1[[#This Row],[Age]]&lt;20,"Teen",IF(Table1[[#This Row],[Age]]&lt;=22,"Young Adult","Adult"))</f>
        <v>Adult</v>
      </c>
    </row>
    <row r="421" spans="1:14" x14ac:dyDescent="0.35">
      <c r="A421" t="s">
        <v>466</v>
      </c>
      <c r="B421">
        <v>24</v>
      </c>
      <c r="C421" t="s">
        <v>24</v>
      </c>
      <c r="D421" t="s">
        <v>14</v>
      </c>
      <c r="E421">
        <v>5</v>
      </c>
      <c r="F421" t="s">
        <v>40</v>
      </c>
      <c r="G421">
        <v>3.81</v>
      </c>
      <c r="H421">
        <v>3.91</v>
      </c>
      <c r="I421">
        <f t="shared" si="6"/>
        <v>0.10000000000000009</v>
      </c>
      <c r="J421">
        <v>13</v>
      </c>
      <c r="K421" t="s">
        <v>27</v>
      </c>
      <c r="L421">
        <v>4</v>
      </c>
      <c r="M421" t="s">
        <v>17</v>
      </c>
      <c r="N421" t="str">
        <f>IF(Table1[[#This Row],[Age]]&lt;20,"Teen",IF(Table1[[#This Row],[Age]]&lt;=22,"Young Adult","Adult"))</f>
        <v>Adult</v>
      </c>
    </row>
    <row r="422" spans="1:14" x14ac:dyDescent="0.35">
      <c r="A422" t="s">
        <v>467</v>
      </c>
      <c r="B422">
        <v>19</v>
      </c>
      <c r="C422" t="s">
        <v>39</v>
      </c>
      <c r="D422" t="s">
        <v>20</v>
      </c>
      <c r="E422">
        <v>6</v>
      </c>
      <c r="F422" t="s">
        <v>15</v>
      </c>
      <c r="G422">
        <v>3.3</v>
      </c>
      <c r="H422">
        <v>3.3</v>
      </c>
      <c r="I422">
        <f t="shared" si="6"/>
        <v>0</v>
      </c>
      <c r="J422">
        <v>3</v>
      </c>
      <c r="K422" t="s">
        <v>16</v>
      </c>
      <c r="L422">
        <v>3</v>
      </c>
      <c r="M422" t="s">
        <v>35</v>
      </c>
      <c r="N422" t="str">
        <f>IF(Table1[[#This Row],[Age]]&lt;20,"Teen",IF(Table1[[#This Row],[Age]]&lt;=22,"Young Adult","Adult"))</f>
        <v>Teen</v>
      </c>
    </row>
    <row r="423" spans="1:14" x14ac:dyDescent="0.35">
      <c r="A423" t="s">
        <v>468</v>
      </c>
      <c r="B423">
        <v>25</v>
      </c>
      <c r="C423" t="s">
        <v>30</v>
      </c>
      <c r="D423" t="s">
        <v>20</v>
      </c>
      <c r="E423">
        <v>2</v>
      </c>
      <c r="F423" t="s">
        <v>56</v>
      </c>
      <c r="G423">
        <v>3.39</v>
      </c>
      <c r="H423">
        <v>3.69</v>
      </c>
      <c r="I423">
        <f t="shared" si="6"/>
        <v>0.29999999999999982</v>
      </c>
      <c r="J423">
        <v>9</v>
      </c>
      <c r="K423" t="s">
        <v>32</v>
      </c>
      <c r="L423">
        <v>6</v>
      </c>
      <c r="M423" t="s">
        <v>22</v>
      </c>
      <c r="N423" t="str">
        <f>IF(Table1[[#This Row],[Age]]&lt;20,"Teen",IF(Table1[[#This Row],[Age]]&lt;=22,"Young Adult","Adult"))</f>
        <v>Adult</v>
      </c>
    </row>
    <row r="424" spans="1:14" x14ac:dyDescent="0.35">
      <c r="A424" t="s">
        <v>469</v>
      </c>
      <c r="B424">
        <v>22</v>
      </c>
      <c r="C424" t="s">
        <v>19</v>
      </c>
      <c r="D424" t="s">
        <v>25</v>
      </c>
      <c r="E424">
        <v>10</v>
      </c>
      <c r="F424" t="s">
        <v>26</v>
      </c>
      <c r="G424">
        <v>3.16</v>
      </c>
      <c r="H424">
        <v>3.36</v>
      </c>
      <c r="I424">
        <f t="shared" si="6"/>
        <v>0.19999999999999973</v>
      </c>
      <c r="J424">
        <v>3</v>
      </c>
      <c r="K424" t="s">
        <v>32</v>
      </c>
      <c r="L424">
        <v>1</v>
      </c>
      <c r="M424" t="s">
        <v>66</v>
      </c>
      <c r="N424" t="str">
        <f>IF(Table1[[#This Row],[Age]]&lt;20,"Teen",IF(Table1[[#This Row],[Age]]&lt;=22,"Young Adult","Adult"))</f>
        <v>Young Adult</v>
      </c>
    </row>
    <row r="425" spans="1:14" x14ac:dyDescent="0.35">
      <c r="A425" t="s">
        <v>470</v>
      </c>
      <c r="B425">
        <v>24</v>
      </c>
      <c r="C425" t="s">
        <v>30</v>
      </c>
      <c r="D425" t="s">
        <v>31</v>
      </c>
      <c r="E425">
        <v>1</v>
      </c>
      <c r="F425" t="s">
        <v>26</v>
      </c>
      <c r="G425">
        <v>3.74</v>
      </c>
      <c r="H425">
        <v>3.84</v>
      </c>
      <c r="I425">
        <f t="shared" si="6"/>
        <v>9.9999999999999645E-2</v>
      </c>
      <c r="J425">
        <v>2</v>
      </c>
      <c r="K425" t="s">
        <v>32</v>
      </c>
      <c r="L425">
        <v>7</v>
      </c>
      <c r="M425" t="s">
        <v>37</v>
      </c>
      <c r="N425" t="str">
        <f>IF(Table1[[#This Row],[Age]]&lt;20,"Teen",IF(Table1[[#This Row],[Age]]&lt;=22,"Young Adult","Adult"))</f>
        <v>Adult</v>
      </c>
    </row>
    <row r="426" spans="1:14" x14ac:dyDescent="0.35">
      <c r="A426" t="s">
        <v>471</v>
      </c>
      <c r="B426">
        <v>21</v>
      </c>
      <c r="C426" t="s">
        <v>42</v>
      </c>
      <c r="D426" t="s">
        <v>34</v>
      </c>
      <c r="E426">
        <v>6</v>
      </c>
      <c r="F426" t="s">
        <v>40</v>
      </c>
      <c r="G426">
        <v>3.96</v>
      </c>
      <c r="H426">
        <v>3.86</v>
      </c>
      <c r="I426">
        <f t="shared" si="6"/>
        <v>-0.10000000000000009</v>
      </c>
      <c r="J426">
        <v>9</v>
      </c>
      <c r="K426" t="s">
        <v>27</v>
      </c>
      <c r="L426">
        <v>9</v>
      </c>
      <c r="M426" t="s">
        <v>64</v>
      </c>
      <c r="N426" t="str">
        <f>IF(Table1[[#This Row],[Age]]&lt;20,"Teen",IF(Table1[[#This Row],[Age]]&lt;=22,"Young Adult","Adult"))</f>
        <v>Young Adult</v>
      </c>
    </row>
    <row r="427" spans="1:14" x14ac:dyDescent="0.35">
      <c r="A427" t="s">
        <v>472</v>
      </c>
      <c r="B427">
        <v>20</v>
      </c>
      <c r="C427" t="s">
        <v>13</v>
      </c>
      <c r="D427" t="s">
        <v>14</v>
      </c>
      <c r="E427">
        <v>4</v>
      </c>
      <c r="F427" t="s">
        <v>56</v>
      </c>
      <c r="G427">
        <v>2.8</v>
      </c>
      <c r="H427">
        <v>3.1</v>
      </c>
      <c r="I427">
        <f t="shared" si="6"/>
        <v>0.30000000000000027</v>
      </c>
      <c r="J427">
        <v>4</v>
      </c>
      <c r="K427" t="s">
        <v>16</v>
      </c>
      <c r="L427">
        <v>5</v>
      </c>
      <c r="M427" t="s">
        <v>66</v>
      </c>
      <c r="N427" t="str">
        <f>IF(Table1[[#This Row],[Age]]&lt;20,"Teen",IF(Table1[[#This Row],[Age]]&lt;=22,"Young Adult","Adult"))</f>
        <v>Young Adult</v>
      </c>
    </row>
    <row r="428" spans="1:14" x14ac:dyDescent="0.35">
      <c r="A428" t="s">
        <v>473</v>
      </c>
      <c r="B428">
        <v>21</v>
      </c>
      <c r="C428" t="s">
        <v>19</v>
      </c>
      <c r="D428" t="s">
        <v>31</v>
      </c>
      <c r="E428">
        <v>3</v>
      </c>
      <c r="F428" t="s">
        <v>21</v>
      </c>
      <c r="G428">
        <v>3.62</v>
      </c>
      <c r="H428">
        <v>3.82</v>
      </c>
      <c r="I428">
        <f t="shared" si="6"/>
        <v>0.19999999999999973</v>
      </c>
      <c r="J428">
        <v>5</v>
      </c>
      <c r="K428" t="s">
        <v>27</v>
      </c>
      <c r="L428">
        <v>2</v>
      </c>
      <c r="M428" t="s">
        <v>37</v>
      </c>
      <c r="N428" t="str">
        <f>IF(Table1[[#This Row],[Age]]&lt;20,"Teen",IF(Table1[[#This Row],[Age]]&lt;=22,"Young Adult","Adult"))</f>
        <v>Young Adult</v>
      </c>
    </row>
    <row r="429" spans="1:14" x14ac:dyDescent="0.35">
      <c r="A429" t="s">
        <v>474</v>
      </c>
      <c r="B429">
        <v>20</v>
      </c>
      <c r="C429" t="s">
        <v>24</v>
      </c>
      <c r="D429" t="s">
        <v>25</v>
      </c>
      <c r="E429">
        <v>10</v>
      </c>
      <c r="F429" t="s">
        <v>26</v>
      </c>
      <c r="G429">
        <v>3.09</v>
      </c>
      <c r="H429">
        <v>2.99</v>
      </c>
      <c r="I429">
        <f t="shared" si="6"/>
        <v>-9.9999999999999645E-2</v>
      </c>
      <c r="J429">
        <v>2</v>
      </c>
      <c r="K429" t="s">
        <v>16</v>
      </c>
      <c r="L429">
        <v>7</v>
      </c>
      <c r="M429" t="s">
        <v>64</v>
      </c>
      <c r="N429" t="str">
        <f>IF(Table1[[#This Row],[Age]]&lt;20,"Teen",IF(Table1[[#This Row],[Age]]&lt;=22,"Young Adult","Adult"))</f>
        <v>Young Adult</v>
      </c>
    </row>
    <row r="430" spans="1:14" x14ac:dyDescent="0.35">
      <c r="A430" t="s">
        <v>475</v>
      </c>
      <c r="B430">
        <v>19</v>
      </c>
      <c r="C430" t="s">
        <v>42</v>
      </c>
      <c r="D430" t="s">
        <v>14</v>
      </c>
      <c r="E430">
        <v>9</v>
      </c>
      <c r="F430" t="s">
        <v>26</v>
      </c>
      <c r="G430">
        <v>2.77</v>
      </c>
      <c r="H430">
        <v>2.67</v>
      </c>
      <c r="I430">
        <f t="shared" si="6"/>
        <v>-0.10000000000000009</v>
      </c>
      <c r="J430">
        <v>10</v>
      </c>
      <c r="K430" t="s">
        <v>32</v>
      </c>
      <c r="L430">
        <v>9</v>
      </c>
      <c r="M430" t="s">
        <v>45</v>
      </c>
      <c r="N430" t="str">
        <f>IF(Table1[[#This Row],[Age]]&lt;20,"Teen",IF(Table1[[#This Row],[Age]]&lt;=22,"Young Adult","Adult"))</f>
        <v>Teen</v>
      </c>
    </row>
    <row r="431" spans="1:14" x14ac:dyDescent="0.35">
      <c r="A431" t="s">
        <v>476</v>
      </c>
      <c r="B431">
        <v>18</v>
      </c>
      <c r="C431" t="s">
        <v>13</v>
      </c>
      <c r="D431" t="s">
        <v>25</v>
      </c>
      <c r="E431">
        <v>6</v>
      </c>
      <c r="F431" t="s">
        <v>40</v>
      </c>
      <c r="G431">
        <v>2.88</v>
      </c>
      <c r="H431">
        <v>3.08</v>
      </c>
      <c r="I431">
        <f t="shared" si="6"/>
        <v>0.20000000000000018</v>
      </c>
      <c r="J431">
        <v>9</v>
      </c>
      <c r="K431" t="s">
        <v>16</v>
      </c>
      <c r="L431">
        <v>7</v>
      </c>
      <c r="M431" t="s">
        <v>17</v>
      </c>
      <c r="N431" t="str">
        <f>IF(Table1[[#This Row],[Age]]&lt;20,"Teen",IF(Table1[[#This Row],[Age]]&lt;=22,"Young Adult","Adult"))</f>
        <v>Teen</v>
      </c>
    </row>
    <row r="432" spans="1:14" x14ac:dyDescent="0.35">
      <c r="A432" t="s">
        <v>477</v>
      </c>
      <c r="B432">
        <v>24</v>
      </c>
      <c r="C432" t="s">
        <v>30</v>
      </c>
      <c r="D432" t="s">
        <v>34</v>
      </c>
      <c r="E432">
        <v>3</v>
      </c>
      <c r="F432" t="s">
        <v>21</v>
      </c>
      <c r="G432">
        <v>3.77</v>
      </c>
      <c r="H432">
        <v>3.97</v>
      </c>
      <c r="I432">
        <f t="shared" si="6"/>
        <v>0.20000000000000018</v>
      </c>
      <c r="J432">
        <v>3</v>
      </c>
      <c r="K432" t="s">
        <v>27</v>
      </c>
      <c r="L432">
        <v>6</v>
      </c>
      <c r="M432" t="s">
        <v>45</v>
      </c>
      <c r="N432" t="str">
        <f>IF(Table1[[#This Row],[Age]]&lt;20,"Teen",IF(Table1[[#This Row],[Age]]&lt;=22,"Young Adult","Adult"))</f>
        <v>Adult</v>
      </c>
    </row>
    <row r="433" spans="1:14" x14ac:dyDescent="0.35">
      <c r="A433" t="s">
        <v>478</v>
      </c>
      <c r="B433">
        <v>20</v>
      </c>
      <c r="C433" t="s">
        <v>30</v>
      </c>
      <c r="D433" t="s">
        <v>31</v>
      </c>
      <c r="E433">
        <v>9</v>
      </c>
      <c r="F433" t="s">
        <v>26</v>
      </c>
      <c r="G433">
        <v>2.52</v>
      </c>
      <c r="H433">
        <v>2.82</v>
      </c>
      <c r="I433">
        <f t="shared" si="6"/>
        <v>0.29999999999999982</v>
      </c>
      <c r="J433">
        <v>6</v>
      </c>
      <c r="K433" t="s">
        <v>32</v>
      </c>
      <c r="L433">
        <v>3</v>
      </c>
      <c r="M433" t="s">
        <v>17</v>
      </c>
      <c r="N433" t="str">
        <f>IF(Table1[[#This Row],[Age]]&lt;20,"Teen",IF(Table1[[#This Row],[Age]]&lt;=22,"Young Adult","Adult"))</f>
        <v>Young Adult</v>
      </c>
    </row>
    <row r="434" spans="1:14" x14ac:dyDescent="0.35">
      <c r="A434" t="s">
        <v>479</v>
      </c>
      <c r="B434">
        <v>24</v>
      </c>
      <c r="C434" t="s">
        <v>30</v>
      </c>
      <c r="D434" t="s">
        <v>25</v>
      </c>
      <c r="E434">
        <v>8</v>
      </c>
      <c r="F434" t="s">
        <v>21</v>
      </c>
      <c r="G434">
        <v>3.45</v>
      </c>
      <c r="H434">
        <v>3.75</v>
      </c>
      <c r="I434">
        <f t="shared" si="6"/>
        <v>0.29999999999999982</v>
      </c>
      <c r="J434">
        <v>7</v>
      </c>
      <c r="K434" t="s">
        <v>32</v>
      </c>
      <c r="L434">
        <v>1</v>
      </c>
      <c r="M434" t="s">
        <v>17</v>
      </c>
      <c r="N434" t="str">
        <f>IF(Table1[[#This Row],[Age]]&lt;20,"Teen",IF(Table1[[#This Row],[Age]]&lt;=22,"Young Adult","Adult"))</f>
        <v>Adult</v>
      </c>
    </row>
    <row r="435" spans="1:14" x14ac:dyDescent="0.35">
      <c r="A435" t="s">
        <v>480</v>
      </c>
      <c r="B435">
        <v>24</v>
      </c>
      <c r="C435" t="s">
        <v>19</v>
      </c>
      <c r="D435" t="s">
        <v>31</v>
      </c>
      <c r="E435">
        <v>4</v>
      </c>
      <c r="F435" t="s">
        <v>15</v>
      </c>
      <c r="G435">
        <v>3.87</v>
      </c>
      <c r="H435">
        <v>3.77</v>
      </c>
      <c r="I435">
        <f t="shared" si="6"/>
        <v>-0.10000000000000009</v>
      </c>
      <c r="J435">
        <v>2</v>
      </c>
      <c r="K435" t="s">
        <v>27</v>
      </c>
      <c r="L435">
        <v>9</v>
      </c>
      <c r="M435" t="s">
        <v>60</v>
      </c>
      <c r="N435" t="str">
        <f>IF(Table1[[#This Row],[Age]]&lt;20,"Teen",IF(Table1[[#This Row],[Age]]&lt;=22,"Young Adult","Adult"))</f>
        <v>Adult</v>
      </c>
    </row>
    <row r="436" spans="1:14" x14ac:dyDescent="0.35">
      <c r="A436" t="s">
        <v>481</v>
      </c>
      <c r="B436">
        <v>18</v>
      </c>
      <c r="C436" t="s">
        <v>39</v>
      </c>
      <c r="D436" t="s">
        <v>25</v>
      </c>
      <c r="E436">
        <v>5</v>
      </c>
      <c r="F436" t="s">
        <v>21</v>
      </c>
      <c r="G436">
        <v>3.13</v>
      </c>
      <c r="H436">
        <v>3.23</v>
      </c>
      <c r="I436">
        <f t="shared" si="6"/>
        <v>0.10000000000000009</v>
      </c>
      <c r="J436">
        <v>2</v>
      </c>
      <c r="K436" t="s">
        <v>27</v>
      </c>
      <c r="L436">
        <v>1</v>
      </c>
      <c r="M436" t="s">
        <v>50</v>
      </c>
      <c r="N436" t="str">
        <f>IF(Table1[[#This Row],[Age]]&lt;20,"Teen",IF(Table1[[#This Row],[Age]]&lt;=22,"Young Adult","Adult"))</f>
        <v>Teen</v>
      </c>
    </row>
    <row r="437" spans="1:14" x14ac:dyDescent="0.35">
      <c r="A437" t="s">
        <v>482</v>
      </c>
      <c r="B437">
        <v>19</v>
      </c>
      <c r="C437" t="s">
        <v>19</v>
      </c>
      <c r="D437" t="s">
        <v>34</v>
      </c>
      <c r="E437">
        <v>9</v>
      </c>
      <c r="F437" t="s">
        <v>26</v>
      </c>
      <c r="G437">
        <v>3.16</v>
      </c>
      <c r="H437">
        <v>3.06</v>
      </c>
      <c r="I437">
        <f t="shared" si="6"/>
        <v>-0.10000000000000009</v>
      </c>
      <c r="J437">
        <v>12</v>
      </c>
      <c r="K437" t="s">
        <v>16</v>
      </c>
      <c r="L437">
        <v>9</v>
      </c>
      <c r="M437" t="s">
        <v>74</v>
      </c>
      <c r="N437" t="str">
        <f>IF(Table1[[#This Row],[Age]]&lt;20,"Teen",IF(Table1[[#This Row],[Age]]&lt;=22,"Young Adult","Adult"))</f>
        <v>Teen</v>
      </c>
    </row>
    <row r="438" spans="1:14" x14ac:dyDescent="0.35">
      <c r="A438" t="s">
        <v>483</v>
      </c>
      <c r="B438">
        <v>19</v>
      </c>
      <c r="C438" t="s">
        <v>19</v>
      </c>
      <c r="D438" t="s">
        <v>31</v>
      </c>
      <c r="E438">
        <v>8</v>
      </c>
      <c r="F438" t="s">
        <v>26</v>
      </c>
      <c r="G438">
        <v>3.77</v>
      </c>
      <c r="H438">
        <v>3.87</v>
      </c>
      <c r="I438">
        <f t="shared" si="6"/>
        <v>0.10000000000000009</v>
      </c>
      <c r="J438">
        <v>6</v>
      </c>
      <c r="K438" t="s">
        <v>32</v>
      </c>
      <c r="L438">
        <v>5</v>
      </c>
      <c r="M438" t="s">
        <v>74</v>
      </c>
      <c r="N438" t="str">
        <f>IF(Table1[[#This Row],[Age]]&lt;20,"Teen",IF(Table1[[#This Row],[Age]]&lt;=22,"Young Adult","Adult"))</f>
        <v>Teen</v>
      </c>
    </row>
    <row r="439" spans="1:14" x14ac:dyDescent="0.35">
      <c r="A439" t="s">
        <v>484</v>
      </c>
      <c r="B439">
        <v>20</v>
      </c>
      <c r="C439" t="s">
        <v>13</v>
      </c>
      <c r="D439" t="s">
        <v>34</v>
      </c>
      <c r="E439">
        <v>8</v>
      </c>
      <c r="F439" t="s">
        <v>56</v>
      </c>
      <c r="G439">
        <v>3.02</v>
      </c>
      <c r="H439">
        <v>3.12</v>
      </c>
      <c r="I439">
        <f t="shared" si="6"/>
        <v>0.10000000000000009</v>
      </c>
      <c r="J439">
        <v>12</v>
      </c>
      <c r="K439" t="s">
        <v>32</v>
      </c>
      <c r="L439">
        <v>8</v>
      </c>
      <c r="M439" t="s">
        <v>35</v>
      </c>
      <c r="N439" t="str">
        <f>IF(Table1[[#This Row],[Age]]&lt;20,"Teen",IF(Table1[[#This Row],[Age]]&lt;=22,"Young Adult","Adult"))</f>
        <v>Young Adult</v>
      </c>
    </row>
    <row r="440" spans="1:14" x14ac:dyDescent="0.35">
      <c r="A440" t="s">
        <v>485</v>
      </c>
      <c r="B440">
        <v>21</v>
      </c>
      <c r="C440" t="s">
        <v>42</v>
      </c>
      <c r="D440" t="s">
        <v>20</v>
      </c>
      <c r="E440">
        <v>2</v>
      </c>
      <c r="F440" t="s">
        <v>26</v>
      </c>
      <c r="G440">
        <v>3.9</v>
      </c>
      <c r="H440">
        <v>4</v>
      </c>
      <c r="I440">
        <f t="shared" si="6"/>
        <v>0.10000000000000009</v>
      </c>
      <c r="J440">
        <v>13</v>
      </c>
      <c r="K440" t="s">
        <v>16</v>
      </c>
      <c r="L440">
        <v>10</v>
      </c>
      <c r="M440" t="s">
        <v>60</v>
      </c>
      <c r="N440" t="str">
        <f>IF(Table1[[#This Row],[Age]]&lt;20,"Teen",IF(Table1[[#This Row],[Age]]&lt;=22,"Young Adult","Adult"))</f>
        <v>Young Adult</v>
      </c>
    </row>
    <row r="441" spans="1:14" x14ac:dyDescent="0.35">
      <c r="A441" t="s">
        <v>486</v>
      </c>
      <c r="B441">
        <v>23</v>
      </c>
      <c r="C441" t="s">
        <v>39</v>
      </c>
      <c r="D441" t="s">
        <v>31</v>
      </c>
      <c r="E441">
        <v>5</v>
      </c>
      <c r="F441" t="s">
        <v>26</v>
      </c>
      <c r="G441">
        <v>3.51</v>
      </c>
      <c r="H441">
        <v>3.71</v>
      </c>
      <c r="I441">
        <f t="shared" si="6"/>
        <v>0.20000000000000018</v>
      </c>
      <c r="J441">
        <v>5</v>
      </c>
      <c r="K441" t="s">
        <v>27</v>
      </c>
      <c r="L441">
        <v>4</v>
      </c>
      <c r="M441" t="s">
        <v>22</v>
      </c>
      <c r="N441" t="str">
        <f>IF(Table1[[#This Row],[Age]]&lt;20,"Teen",IF(Table1[[#This Row],[Age]]&lt;=22,"Young Adult","Adult"))</f>
        <v>Adult</v>
      </c>
    </row>
    <row r="442" spans="1:14" x14ac:dyDescent="0.35">
      <c r="A442" t="s">
        <v>487</v>
      </c>
      <c r="B442">
        <v>25</v>
      </c>
      <c r="C442" t="s">
        <v>24</v>
      </c>
      <c r="D442" t="s">
        <v>25</v>
      </c>
      <c r="E442">
        <v>4</v>
      </c>
      <c r="F442" t="s">
        <v>26</v>
      </c>
      <c r="G442">
        <v>3.81</v>
      </c>
      <c r="H442">
        <v>3.91</v>
      </c>
      <c r="I442">
        <f t="shared" si="6"/>
        <v>0.10000000000000009</v>
      </c>
      <c r="J442">
        <v>14</v>
      </c>
      <c r="K442" t="s">
        <v>16</v>
      </c>
      <c r="L442">
        <v>3</v>
      </c>
      <c r="M442" t="s">
        <v>48</v>
      </c>
      <c r="N442" t="str">
        <f>IF(Table1[[#This Row],[Age]]&lt;20,"Teen",IF(Table1[[#This Row],[Age]]&lt;=22,"Young Adult","Adult"))</f>
        <v>Adult</v>
      </c>
    </row>
    <row r="443" spans="1:14" x14ac:dyDescent="0.35">
      <c r="A443" t="s">
        <v>488</v>
      </c>
      <c r="B443">
        <v>22</v>
      </c>
      <c r="C443" t="s">
        <v>19</v>
      </c>
      <c r="D443" t="s">
        <v>25</v>
      </c>
      <c r="E443">
        <v>3</v>
      </c>
      <c r="F443" t="s">
        <v>56</v>
      </c>
      <c r="G443">
        <v>2.74</v>
      </c>
      <c r="H443">
        <v>2.64</v>
      </c>
      <c r="I443">
        <f t="shared" si="6"/>
        <v>-0.10000000000000009</v>
      </c>
      <c r="J443">
        <v>11</v>
      </c>
      <c r="K443" t="s">
        <v>16</v>
      </c>
      <c r="L443">
        <v>6</v>
      </c>
      <c r="M443" t="s">
        <v>100</v>
      </c>
      <c r="N443" t="str">
        <f>IF(Table1[[#This Row],[Age]]&lt;20,"Teen",IF(Table1[[#This Row],[Age]]&lt;=22,"Young Adult","Adult"))</f>
        <v>Young Adult</v>
      </c>
    </row>
    <row r="444" spans="1:14" x14ac:dyDescent="0.35">
      <c r="A444" t="s">
        <v>489</v>
      </c>
      <c r="B444">
        <v>25</v>
      </c>
      <c r="C444" t="s">
        <v>13</v>
      </c>
      <c r="D444" t="s">
        <v>34</v>
      </c>
      <c r="E444">
        <v>6</v>
      </c>
      <c r="F444" t="s">
        <v>40</v>
      </c>
      <c r="G444">
        <v>3.66</v>
      </c>
      <c r="H444">
        <v>3.86</v>
      </c>
      <c r="I444">
        <f t="shared" si="6"/>
        <v>0.19999999999999973</v>
      </c>
      <c r="J444">
        <v>3</v>
      </c>
      <c r="K444" t="s">
        <v>32</v>
      </c>
      <c r="L444">
        <v>5</v>
      </c>
      <c r="M444" t="s">
        <v>74</v>
      </c>
      <c r="N444" t="str">
        <f>IF(Table1[[#This Row],[Age]]&lt;20,"Teen",IF(Table1[[#This Row],[Age]]&lt;=22,"Young Adult","Adult"))</f>
        <v>Adult</v>
      </c>
    </row>
    <row r="445" spans="1:14" x14ac:dyDescent="0.35">
      <c r="A445" t="s">
        <v>490</v>
      </c>
      <c r="B445">
        <v>23</v>
      </c>
      <c r="C445" t="s">
        <v>30</v>
      </c>
      <c r="D445" t="s">
        <v>14</v>
      </c>
      <c r="E445">
        <v>3</v>
      </c>
      <c r="F445" t="s">
        <v>40</v>
      </c>
      <c r="G445">
        <v>3.8</v>
      </c>
      <c r="H445">
        <v>3.7</v>
      </c>
      <c r="I445">
        <f t="shared" si="6"/>
        <v>-9.9999999999999645E-2</v>
      </c>
      <c r="J445">
        <v>13</v>
      </c>
      <c r="K445" t="s">
        <v>27</v>
      </c>
      <c r="L445">
        <v>4</v>
      </c>
      <c r="M445" t="s">
        <v>22</v>
      </c>
      <c r="N445" t="str">
        <f>IF(Table1[[#This Row],[Age]]&lt;20,"Teen",IF(Table1[[#This Row],[Age]]&lt;=22,"Young Adult","Adult"))</f>
        <v>Adult</v>
      </c>
    </row>
    <row r="446" spans="1:14" x14ac:dyDescent="0.35">
      <c r="A446" t="s">
        <v>491</v>
      </c>
      <c r="B446">
        <v>21</v>
      </c>
      <c r="C446" t="s">
        <v>30</v>
      </c>
      <c r="D446" t="s">
        <v>25</v>
      </c>
      <c r="E446">
        <v>6</v>
      </c>
      <c r="F446" t="s">
        <v>21</v>
      </c>
      <c r="G446">
        <v>3.35</v>
      </c>
      <c r="H446">
        <v>3.65</v>
      </c>
      <c r="I446">
        <f t="shared" si="6"/>
        <v>0.29999999999999982</v>
      </c>
      <c r="J446">
        <v>3</v>
      </c>
      <c r="K446" t="s">
        <v>27</v>
      </c>
      <c r="L446">
        <v>9</v>
      </c>
      <c r="M446" t="s">
        <v>45</v>
      </c>
      <c r="N446" t="str">
        <f>IF(Table1[[#This Row],[Age]]&lt;20,"Teen",IF(Table1[[#This Row],[Age]]&lt;=22,"Young Adult","Adult"))</f>
        <v>Young Adult</v>
      </c>
    </row>
    <row r="447" spans="1:14" x14ac:dyDescent="0.35">
      <c r="A447" t="s">
        <v>492</v>
      </c>
      <c r="B447">
        <v>19</v>
      </c>
      <c r="C447" t="s">
        <v>19</v>
      </c>
      <c r="D447" t="s">
        <v>25</v>
      </c>
      <c r="E447">
        <v>6</v>
      </c>
      <c r="F447" t="s">
        <v>21</v>
      </c>
      <c r="G447">
        <v>2.91</v>
      </c>
      <c r="H447">
        <v>2.81</v>
      </c>
      <c r="I447">
        <f t="shared" si="6"/>
        <v>-0.10000000000000009</v>
      </c>
      <c r="J447">
        <v>12</v>
      </c>
      <c r="K447" t="s">
        <v>16</v>
      </c>
      <c r="L447">
        <v>3</v>
      </c>
      <c r="M447" t="s">
        <v>100</v>
      </c>
      <c r="N447" t="str">
        <f>IF(Table1[[#This Row],[Age]]&lt;20,"Teen",IF(Table1[[#This Row],[Age]]&lt;=22,"Young Adult","Adult"))</f>
        <v>Teen</v>
      </c>
    </row>
    <row r="448" spans="1:14" x14ac:dyDescent="0.35">
      <c r="A448" t="s">
        <v>493</v>
      </c>
      <c r="B448">
        <v>18</v>
      </c>
      <c r="C448" t="s">
        <v>19</v>
      </c>
      <c r="D448" t="s">
        <v>20</v>
      </c>
      <c r="E448">
        <v>5</v>
      </c>
      <c r="F448" t="s">
        <v>15</v>
      </c>
      <c r="G448">
        <v>3.8</v>
      </c>
      <c r="H448">
        <v>3.7</v>
      </c>
      <c r="I448">
        <f t="shared" si="6"/>
        <v>-9.9999999999999645E-2</v>
      </c>
      <c r="J448">
        <v>5</v>
      </c>
      <c r="K448" t="s">
        <v>32</v>
      </c>
      <c r="L448">
        <v>5</v>
      </c>
      <c r="M448" t="s">
        <v>50</v>
      </c>
      <c r="N448" t="str">
        <f>IF(Table1[[#This Row],[Age]]&lt;20,"Teen",IF(Table1[[#This Row],[Age]]&lt;=22,"Young Adult","Adult"))</f>
        <v>Teen</v>
      </c>
    </row>
    <row r="449" spans="1:14" x14ac:dyDescent="0.35">
      <c r="A449" t="s">
        <v>494</v>
      </c>
      <c r="B449">
        <v>23</v>
      </c>
      <c r="C449" t="s">
        <v>13</v>
      </c>
      <c r="D449" t="s">
        <v>20</v>
      </c>
      <c r="E449">
        <v>5</v>
      </c>
      <c r="F449" t="s">
        <v>40</v>
      </c>
      <c r="G449">
        <v>2.74</v>
      </c>
      <c r="H449">
        <v>3.04</v>
      </c>
      <c r="I449">
        <f t="shared" si="6"/>
        <v>0.29999999999999982</v>
      </c>
      <c r="J449">
        <v>14</v>
      </c>
      <c r="K449" t="s">
        <v>27</v>
      </c>
      <c r="L449">
        <v>1</v>
      </c>
      <c r="M449" t="s">
        <v>35</v>
      </c>
      <c r="N449" t="str">
        <f>IF(Table1[[#This Row],[Age]]&lt;20,"Teen",IF(Table1[[#This Row],[Age]]&lt;=22,"Young Adult","Adult"))</f>
        <v>Adult</v>
      </c>
    </row>
    <row r="450" spans="1:14" x14ac:dyDescent="0.35">
      <c r="A450" t="s">
        <v>495</v>
      </c>
      <c r="B450">
        <v>19</v>
      </c>
      <c r="C450" t="s">
        <v>13</v>
      </c>
      <c r="D450" t="s">
        <v>14</v>
      </c>
      <c r="E450">
        <v>7</v>
      </c>
      <c r="F450" t="s">
        <v>26</v>
      </c>
      <c r="G450">
        <v>3.86</v>
      </c>
      <c r="H450">
        <v>3.86</v>
      </c>
      <c r="I450">
        <f t="shared" si="6"/>
        <v>0</v>
      </c>
      <c r="J450">
        <v>8</v>
      </c>
      <c r="K450" t="s">
        <v>27</v>
      </c>
      <c r="L450">
        <v>5</v>
      </c>
      <c r="M450" t="s">
        <v>64</v>
      </c>
      <c r="N450" t="str">
        <f>IF(Table1[[#This Row],[Age]]&lt;20,"Teen",IF(Table1[[#This Row],[Age]]&lt;=22,"Young Adult","Adult"))</f>
        <v>Teen</v>
      </c>
    </row>
    <row r="451" spans="1:14" x14ac:dyDescent="0.35">
      <c r="A451" t="s">
        <v>496</v>
      </c>
      <c r="B451">
        <v>23</v>
      </c>
      <c r="C451" t="s">
        <v>39</v>
      </c>
      <c r="D451" t="s">
        <v>25</v>
      </c>
      <c r="E451">
        <v>7</v>
      </c>
      <c r="F451" t="s">
        <v>21</v>
      </c>
      <c r="G451">
        <v>3.34</v>
      </c>
      <c r="H451">
        <v>3.54</v>
      </c>
      <c r="I451">
        <f t="shared" ref="I451:I500" si="7">H451-G451</f>
        <v>0.20000000000000018</v>
      </c>
      <c r="J451">
        <v>13</v>
      </c>
      <c r="K451" t="s">
        <v>16</v>
      </c>
      <c r="L451">
        <v>5</v>
      </c>
      <c r="M451" t="s">
        <v>66</v>
      </c>
      <c r="N451" t="str">
        <f>IF(Table1[[#This Row],[Age]]&lt;20,"Teen",IF(Table1[[#This Row],[Age]]&lt;=22,"Young Adult","Adult"))</f>
        <v>Adult</v>
      </c>
    </row>
    <row r="452" spans="1:14" x14ac:dyDescent="0.35">
      <c r="A452" t="s">
        <v>497</v>
      </c>
      <c r="B452">
        <v>20</v>
      </c>
      <c r="C452" t="s">
        <v>39</v>
      </c>
      <c r="D452" t="s">
        <v>34</v>
      </c>
      <c r="E452">
        <v>2</v>
      </c>
      <c r="F452" t="s">
        <v>40</v>
      </c>
      <c r="G452">
        <v>3.31</v>
      </c>
      <c r="H452">
        <v>3.61</v>
      </c>
      <c r="I452">
        <f t="shared" si="7"/>
        <v>0.29999999999999982</v>
      </c>
      <c r="J452">
        <v>8</v>
      </c>
      <c r="K452" t="s">
        <v>32</v>
      </c>
      <c r="L452">
        <v>3</v>
      </c>
      <c r="M452" t="s">
        <v>48</v>
      </c>
      <c r="N452" t="str">
        <f>IF(Table1[[#This Row],[Age]]&lt;20,"Teen",IF(Table1[[#This Row],[Age]]&lt;=22,"Young Adult","Adult"))</f>
        <v>Young Adult</v>
      </c>
    </row>
    <row r="453" spans="1:14" x14ac:dyDescent="0.35">
      <c r="A453" t="s">
        <v>498</v>
      </c>
      <c r="B453">
        <v>23</v>
      </c>
      <c r="C453" t="s">
        <v>19</v>
      </c>
      <c r="D453" t="s">
        <v>34</v>
      </c>
      <c r="E453">
        <v>3</v>
      </c>
      <c r="F453" t="s">
        <v>40</v>
      </c>
      <c r="G453">
        <v>3.09</v>
      </c>
      <c r="H453">
        <v>3.39</v>
      </c>
      <c r="I453">
        <f t="shared" si="7"/>
        <v>0.30000000000000027</v>
      </c>
      <c r="J453">
        <v>10</v>
      </c>
      <c r="K453" t="s">
        <v>32</v>
      </c>
      <c r="L453">
        <v>9</v>
      </c>
      <c r="M453" t="s">
        <v>74</v>
      </c>
      <c r="N453" t="str">
        <f>IF(Table1[[#This Row],[Age]]&lt;20,"Teen",IF(Table1[[#This Row],[Age]]&lt;=22,"Young Adult","Adult"))</f>
        <v>Adult</v>
      </c>
    </row>
    <row r="454" spans="1:14" x14ac:dyDescent="0.35">
      <c r="A454" t="s">
        <v>499</v>
      </c>
      <c r="B454">
        <v>24</v>
      </c>
      <c r="C454" t="s">
        <v>30</v>
      </c>
      <c r="D454" t="s">
        <v>20</v>
      </c>
      <c r="E454">
        <v>7</v>
      </c>
      <c r="F454" t="s">
        <v>40</v>
      </c>
      <c r="G454">
        <v>3.5</v>
      </c>
      <c r="H454">
        <v>3.8</v>
      </c>
      <c r="I454">
        <f t="shared" si="7"/>
        <v>0.29999999999999982</v>
      </c>
      <c r="J454">
        <v>4</v>
      </c>
      <c r="K454" t="s">
        <v>32</v>
      </c>
      <c r="L454">
        <v>9</v>
      </c>
      <c r="M454" t="s">
        <v>17</v>
      </c>
      <c r="N454" t="str">
        <f>IF(Table1[[#This Row],[Age]]&lt;20,"Teen",IF(Table1[[#This Row],[Age]]&lt;=22,"Young Adult","Adult"))</f>
        <v>Adult</v>
      </c>
    </row>
    <row r="455" spans="1:14" x14ac:dyDescent="0.35">
      <c r="A455" t="s">
        <v>500</v>
      </c>
      <c r="B455">
        <v>22</v>
      </c>
      <c r="C455" t="s">
        <v>13</v>
      </c>
      <c r="D455" t="s">
        <v>25</v>
      </c>
      <c r="E455">
        <v>2</v>
      </c>
      <c r="F455" t="s">
        <v>15</v>
      </c>
      <c r="G455">
        <v>3.15</v>
      </c>
      <c r="H455">
        <v>3.25</v>
      </c>
      <c r="I455">
        <f t="shared" si="7"/>
        <v>0.10000000000000009</v>
      </c>
      <c r="J455">
        <v>12</v>
      </c>
      <c r="K455" t="s">
        <v>16</v>
      </c>
      <c r="L455">
        <v>4</v>
      </c>
      <c r="M455" t="s">
        <v>52</v>
      </c>
      <c r="N455" t="str">
        <f>IF(Table1[[#This Row],[Age]]&lt;20,"Teen",IF(Table1[[#This Row],[Age]]&lt;=22,"Young Adult","Adult"))</f>
        <v>Young Adult</v>
      </c>
    </row>
    <row r="456" spans="1:14" x14ac:dyDescent="0.35">
      <c r="A456" t="s">
        <v>501</v>
      </c>
      <c r="B456">
        <v>24</v>
      </c>
      <c r="C456" t="s">
        <v>30</v>
      </c>
      <c r="D456" t="s">
        <v>20</v>
      </c>
      <c r="E456">
        <v>7</v>
      </c>
      <c r="F456" t="s">
        <v>40</v>
      </c>
      <c r="G456">
        <v>3.64</v>
      </c>
      <c r="H456">
        <v>3.64</v>
      </c>
      <c r="I456">
        <f t="shared" si="7"/>
        <v>0</v>
      </c>
      <c r="J456">
        <v>4</v>
      </c>
      <c r="K456" t="s">
        <v>27</v>
      </c>
      <c r="L456">
        <v>4</v>
      </c>
      <c r="M456" t="s">
        <v>35</v>
      </c>
      <c r="N456" t="str">
        <f>IF(Table1[[#This Row],[Age]]&lt;20,"Teen",IF(Table1[[#This Row],[Age]]&lt;=22,"Young Adult","Adult"))</f>
        <v>Adult</v>
      </c>
    </row>
    <row r="457" spans="1:14" x14ac:dyDescent="0.35">
      <c r="A457" t="s">
        <v>502</v>
      </c>
      <c r="B457">
        <v>18</v>
      </c>
      <c r="C457" t="s">
        <v>19</v>
      </c>
      <c r="D457" t="s">
        <v>14</v>
      </c>
      <c r="E457">
        <v>1</v>
      </c>
      <c r="F457" t="s">
        <v>56</v>
      </c>
      <c r="G457">
        <v>3.15</v>
      </c>
      <c r="H457">
        <v>3.45</v>
      </c>
      <c r="I457">
        <f t="shared" si="7"/>
        <v>0.30000000000000027</v>
      </c>
      <c r="J457">
        <v>7</v>
      </c>
      <c r="K457" t="s">
        <v>27</v>
      </c>
      <c r="L457">
        <v>1</v>
      </c>
      <c r="M457" t="s">
        <v>17</v>
      </c>
      <c r="N457" t="str">
        <f>IF(Table1[[#This Row],[Age]]&lt;20,"Teen",IF(Table1[[#This Row],[Age]]&lt;=22,"Young Adult","Adult"))</f>
        <v>Teen</v>
      </c>
    </row>
    <row r="458" spans="1:14" x14ac:dyDescent="0.35">
      <c r="A458" t="s">
        <v>503</v>
      </c>
      <c r="B458">
        <v>18</v>
      </c>
      <c r="C458" t="s">
        <v>42</v>
      </c>
      <c r="D458" t="s">
        <v>34</v>
      </c>
      <c r="E458">
        <v>6</v>
      </c>
      <c r="F458" t="s">
        <v>21</v>
      </c>
      <c r="G458">
        <v>3.11</v>
      </c>
      <c r="H458">
        <v>3.21</v>
      </c>
      <c r="I458">
        <f t="shared" si="7"/>
        <v>0.10000000000000009</v>
      </c>
      <c r="J458">
        <v>9</v>
      </c>
      <c r="K458" t="s">
        <v>32</v>
      </c>
      <c r="L458">
        <v>5</v>
      </c>
      <c r="M458" t="s">
        <v>17</v>
      </c>
      <c r="N458" t="str">
        <f>IF(Table1[[#This Row],[Age]]&lt;20,"Teen",IF(Table1[[#This Row],[Age]]&lt;=22,"Young Adult","Adult"))</f>
        <v>Teen</v>
      </c>
    </row>
    <row r="459" spans="1:14" x14ac:dyDescent="0.35">
      <c r="A459" t="s">
        <v>504</v>
      </c>
      <c r="B459">
        <v>20</v>
      </c>
      <c r="C459" t="s">
        <v>42</v>
      </c>
      <c r="D459" t="s">
        <v>25</v>
      </c>
      <c r="E459">
        <v>6</v>
      </c>
      <c r="F459" t="s">
        <v>40</v>
      </c>
      <c r="G459">
        <v>2.81</v>
      </c>
      <c r="H459">
        <v>3.01</v>
      </c>
      <c r="I459">
        <f t="shared" si="7"/>
        <v>0.19999999999999973</v>
      </c>
      <c r="J459">
        <v>4</v>
      </c>
      <c r="K459" t="s">
        <v>27</v>
      </c>
      <c r="L459">
        <v>9</v>
      </c>
      <c r="M459" t="s">
        <v>28</v>
      </c>
      <c r="N459" t="str">
        <f>IF(Table1[[#This Row],[Age]]&lt;20,"Teen",IF(Table1[[#This Row],[Age]]&lt;=22,"Young Adult","Adult"))</f>
        <v>Young Adult</v>
      </c>
    </row>
    <row r="460" spans="1:14" x14ac:dyDescent="0.35">
      <c r="A460" t="s">
        <v>505</v>
      </c>
      <c r="B460">
        <v>24</v>
      </c>
      <c r="C460" t="s">
        <v>30</v>
      </c>
      <c r="D460" t="s">
        <v>14</v>
      </c>
      <c r="E460">
        <v>10</v>
      </c>
      <c r="F460" t="s">
        <v>26</v>
      </c>
      <c r="G460">
        <v>3.58</v>
      </c>
      <c r="H460">
        <v>3.68</v>
      </c>
      <c r="I460">
        <f t="shared" si="7"/>
        <v>0.10000000000000009</v>
      </c>
      <c r="J460">
        <v>10</v>
      </c>
      <c r="K460" t="s">
        <v>16</v>
      </c>
      <c r="L460">
        <v>5</v>
      </c>
      <c r="M460" t="s">
        <v>48</v>
      </c>
      <c r="N460" t="str">
        <f>IF(Table1[[#This Row],[Age]]&lt;20,"Teen",IF(Table1[[#This Row],[Age]]&lt;=22,"Young Adult","Adult"))</f>
        <v>Adult</v>
      </c>
    </row>
    <row r="461" spans="1:14" x14ac:dyDescent="0.35">
      <c r="A461" t="s">
        <v>506</v>
      </c>
      <c r="B461">
        <v>23</v>
      </c>
      <c r="C461" t="s">
        <v>42</v>
      </c>
      <c r="D461" t="s">
        <v>20</v>
      </c>
      <c r="E461">
        <v>4</v>
      </c>
      <c r="F461" t="s">
        <v>15</v>
      </c>
      <c r="G461">
        <v>2.94</v>
      </c>
      <c r="H461">
        <v>3.24</v>
      </c>
      <c r="I461">
        <f t="shared" si="7"/>
        <v>0.30000000000000027</v>
      </c>
      <c r="J461">
        <v>3</v>
      </c>
      <c r="K461" t="s">
        <v>27</v>
      </c>
      <c r="L461">
        <v>4</v>
      </c>
      <c r="M461" t="s">
        <v>66</v>
      </c>
      <c r="N461" t="str">
        <f>IF(Table1[[#This Row],[Age]]&lt;20,"Teen",IF(Table1[[#This Row],[Age]]&lt;=22,"Young Adult","Adult"))</f>
        <v>Adult</v>
      </c>
    </row>
    <row r="462" spans="1:14" x14ac:dyDescent="0.35">
      <c r="A462" t="s">
        <v>507</v>
      </c>
      <c r="B462">
        <v>20</v>
      </c>
      <c r="C462" t="s">
        <v>30</v>
      </c>
      <c r="D462" t="s">
        <v>14</v>
      </c>
      <c r="E462">
        <v>6</v>
      </c>
      <c r="F462" t="s">
        <v>56</v>
      </c>
      <c r="G462">
        <v>3.74</v>
      </c>
      <c r="H462">
        <v>3.94</v>
      </c>
      <c r="I462">
        <f t="shared" si="7"/>
        <v>0.19999999999999973</v>
      </c>
      <c r="J462">
        <v>5</v>
      </c>
      <c r="K462" t="s">
        <v>27</v>
      </c>
      <c r="L462">
        <v>3</v>
      </c>
      <c r="M462" t="s">
        <v>74</v>
      </c>
      <c r="N462" t="str">
        <f>IF(Table1[[#This Row],[Age]]&lt;20,"Teen",IF(Table1[[#This Row],[Age]]&lt;=22,"Young Adult","Adult"))</f>
        <v>Young Adult</v>
      </c>
    </row>
    <row r="463" spans="1:14" x14ac:dyDescent="0.35">
      <c r="A463" t="s">
        <v>508</v>
      </c>
      <c r="B463">
        <v>19</v>
      </c>
      <c r="C463" t="s">
        <v>24</v>
      </c>
      <c r="D463" t="s">
        <v>20</v>
      </c>
      <c r="E463">
        <v>1</v>
      </c>
      <c r="F463" t="s">
        <v>56</v>
      </c>
      <c r="G463">
        <v>3.06</v>
      </c>
      <c r="H463">
        <v>3.16</v>
      </c>
      <c r="I463">
        <f t="shared" si="7"/>
        <v>0.10000000000000009</v>
      </c>
      <c r="J463">
        <v>14</v>
      </c>
      <c r="K463" t="s">
        <v>16</v>
      </c>
      <c r="L463">
        <v>8</v>
      </c>
      <c r="M463" t="s">
        <v>60</v>
      </c>
      <c r="N463" t="str">
        <f>IF(Table1[[#This Row],[Age]]&lt;20,"Teen",IF(Table1[[#This Row],[Age]]&lt;=22,"Young Adult","Adult"))</f>
        <v>Teen</v>
      </c>
    </row>
    <row r="464" spans="1:14" x14ac:dyDescent="0.35">
      <c r="A464" t="s">
        <v>509</v>
      </c>
      <c r="B464">
        <v>24</v>
      </c>
      <c r="C464" t="s">
        <v>24</v>
      </c>
      <c r="D464" t="s">
        <v>31</v>
      </c>
      <c r="E464">
        <v>2</v>
      </c>
      <c r="F464" t="s">
        <v>40</v>
      </c>
      <c r="G464">
        <v>3.61</v>
      </c>
      <c r="H464">
        <v>3.91</v>
      </c>
      <c r="I464">
        <f t="shared" si="7"/>
        <v>0.30000000000000027</v>
      </c>
      <c r="J464">
        <v>8</v>
      </c>
      <c r="K464" t="s">
        <v>32</v>
      </c>
      <c r="L464">
        <v>6</v>
      </c>
      <c r="M464" t="s">
        <v>35</v>
      </c>
      <c r="N464" t="str">
        <f>IF(Table1[[#This Row],[Age]]&lt;20,"Teen",IF(Table1[[#This Row],[Age]]&lt;=22,"Young Adult","Adult"))</f>
        <v>Adult</v>
      </c>
    </row>
    <row r="465" spans="1:14" x14ac:dyDescent="0.35">
      <c r="A465" t="s">
        <v>510</v>
      </c>
      <c r="B465">
        <v>18</v>
      </c>
      <c r="C465" t="s">
        <v>39</v>
      </c>
      <c r="D465" t="s">
        <v>25</v>
      </c>
      <c r="E465">
        <v>7</v>
      </c>
      <c r="F465" t="s">
        <v>40</v>
      </c>
      <c r="G465">
        <v>3.33</v>
      </c>
      <c r="H465">
        <v>3.53</v>
      </c>
      <c r="I465">
        <f t="shared" si="7"/>
        <v>0.19999999999999973</v>
      </c>
      <c r="J465">
        <v>5</v>
      </c>
      <c r="K465" t="s">
        <v>27</v>
      </c>
      <c r="L465">
        <v>8</v>
      </c>
      <c r="M465" t="s">
        <v>64</v>
      </c>
      <c r="N465" t="str">
        <f>IF(Table1[[#This Row],[Age]]&lt;20,"Teen",IF(Table1[[#This Row],[Age]]&lt;=22,"Young Adult","Adult"))</f>
        <v>Teen</v>
      </c>
    </row>
    <row r="466" spans="1:14" x14ac:dyDescent="0.35">
      <c r="A466" t="s">
        <v>511</v>
      </c>
      <c r="B466">
        <v>25</v>
      </c>
      <c r="C466" t="s">
        <v>24</v>
      </c>
      <c r="D466" t="s">
        <v>14</v>
      </c>
      <c r="E466">
        <v>8</v>
      </c>
      <c r="F466" t="s">
        <v>21</v>
      </c>
      <c r="G466">
        <v>3.62</v>
      </c>
      <c r="H466">
        <v>3.72</v>
      </c>
      <c r="I466">
        <f t="shared" si="7"/>
        <v>0.10000000000000009</v>
      </c>
      <c r="J466">
        <v>8</v>
      </c>
      <c r="K466" t="s">
        <v>32</v>
      </c>
      <c r="L466">
        <v>8</v>
      </c>
      <c r="M466" t="s">
        <v>64</v>
      </c>
      <c r="N466" t="str">
        <f>IF(Table1[[#This Row],[Age]]&lt;20,"Teen",IF(Table1[[#This Row],[Age]]&lt;=22,"Young Adult","Adult"))</f>
        <v>Adult</v>
      </c>
    </row>
    <row r="467" spans="1:14" x14ac:dyDescent="0.35">
      <c r="A467" t="s">
        <v>512</v>
      </c>
      <c r="B467">
        <v>22</v>
      </c>
      <c r="C467" t="s">
        <v>42</v>
      </c>
      <c r="D467" t="s">
        <v>34</v>
      </c>
      <c r="E467">
        <v>8</v>
      </c>
      <c r="F467" t="s">
        <v>21</v>
      </c>
      <c r="G467">
        <v>3.79</v>
      </c>
      <c r="H467">
        <v>3.79</v>
      </c>
      <c r="I467">
        <f t="shared" si="7"/>
        <v>0</v>
      </c>
      <c r="J467">
        <v>4</v>
      </c>
      <c r="K467" t="s">
        <v>27</v>
      </c>
      <c r="L467">
        <v>3</v>
      </c>
      <c r="M467" t="s">
        <v>66</v>
      </c>
      <c r="N467" t="str">
        <f>IF(Table1[[#This Row],[Age]]&lt;20,"Teen",IF(Table1[[#This Row],[Age]]&lt;=22,"Young Adult","Adult"))</f>
        <v>Young Adult</v>
      </c>
    </row>
    <row r="468" spans="1:14" x14ac:dyDescent="0.35">
      <c r="A468" t="s">
        <v>513</v>
      </c>
      <c r="B468">
        <v>23</v>
      </c>
      <c r="C468" t="s">
        <v>13</v>
      </c>
      <c r="D468" t="s">
        <v>14</v>
      </c>
      <c r="E468">
        <v>9</v>
      </c>
      <c r="F468" t="s">
        <v>40</v>
      </c>
      <c r="G468">
        <v>2.78</v>
      </c>
      <c r="H468">
        <v>2.78</v>
      </c>
      <c r="I468">
        <f t="shared" si="7"/>
        <v>0</v>
      </c>
      <c r="J468">
        <v>12</v>
      </c>
      <c r="K468" t="s">
        <v>16</v>
      </c>
      <c r="L468">
        <v>9</v>
      </c>
      <c r="M468" t="s">
        <v>37</v>
      </c>
      <c r="N468" t="str">
        <f>IF(Table1[[#This Row],[Age]]&lt;20,"Teen",IF(Table1[[#This Row],[Age]]&lt;=22,"Young Adult","Adult"))</f>
        <v>Adult</v>
      </c>
    </row>
    <row r="469" spans="1:14" x14ac:dyDescent="0.35">
      <c r="A469" t="s">
        <v>514</v>
      </c>
      <c r="B469">
        <v>18</v>
      </c>
      <c r="C469" t="s">
        <v>30</v>
      </c>
      <c r="D469" t="s">
        <v>20</v>
      </c>
      <c r="E469">
        <v>7</v>
      </c>
      <c r="F469" t="s">
        <v>21</v>
      </c>
      <c r="G469">
        <v>3.97</v>
      </c>
      <c r="H469">
        <v>4</v>
      </c>
      <c r="I469">
        <f t="shared" si="7"/>
        <v>2.9999999999999805E-2</v>
      </c>
      <c r="J469">
        <v>12</v>
      </c>
      <c r="K469" t="s">
        <v>16</v>
      </c>
      <c r="L469">
        <v>8</v>
      </c>
      <c r="M469" t="s">
        <v>37</v>
      </c>
      <c r="N469" t="str">
        <f>IF(Table1[[#This Row],[Age]]&lt;20,"Teen",IF(Table1[[#This Row],[Age]]&lt;=22,"Young Adult","Adult"))</f>
        <v>Teen</v>
      </c>
    </row>
    <row r="470" spans="1:14" x14ac:dyDescent="0.35">
      <c r="A470" t="s">
        <v>515</v>
      </c>
      <c r="B470">
        <v>23</v>
      </c>
      <c r="C470" t="s">
        <v>42</v>
      </c>
      <c r="D470" t="s">
        <v>31</v>
      </c>
      <c r="E470">
        <v>7</v>
      </c>
      <c r="F470" t="s">
        <v>40</v>
      </c>
      <c r="G470">
        <v>2.81</v>
      </c>
      <c r="H470">
        <v>3.11</v>
      </c>
      <c r="I470">
        <f t="shared" si="7"/>
        <v>0.29999999999999982</v>
      </c>
      <c r="J470">
        <v>4</v>
      </c>
      <c r="K470" t="s">
        <v>27</v>
      </c>
      <c r="L470">
        <v>5</v>
      </c>
      <c r="M470" t="s">
        <v>43</v>
      </c>
      <c r="N470" t="str">
        <f>IF(Table1[[#This Row],[Age]]&lt;20,"Teen",IF(Table1[[#This Row],[Age]]&lt;=22,"Young Adult","Adult"))</f>
        <v>Adult</v>
      </c>
    </row>
    <row r="471" spans="1:14" x14ac:dyDescent="0.35">
      <c r="A471" t="s">
        <v>516</v>
      </c>
      <c r="B471">
        <v>19</v>
      </c>
      <c r="C471" t="s">
        <v>24</v>
      </c>
      <c r="D471" t="s">
        <v>31</v>
      </c>
      <c r="E471">
        <v>8</v>
      </c>
      <c r="F471" t="s">
        <v>15</v>
      </c>
      <c r="G471">
        <v>3.14</v>
      </c>
      <c r="H471">
        <v>3.04</v>
      </c>
      <c r="I471">
        <f t="shared" si="7"/>
        <v>-0.10000000000000009</v>
      </c>
      <c r="J471">
        <v>10</v>
      </c>
      <c r="K471" t="s">
        <v>16</v>
      </c>
      <c r="L471">
        <v>3</v>
      </c>
      <c r="M471" t="s">
        <v>22</v>
      </c>
      <c r="N471" t="str">
        <f>IF(Table1[[#This Row],[Age]]&lt;20,"Teen",IF(Table1[[#This Row],[Age]]&lt;=22,"Young Adult","Adult"))</f>
        <v>Teen</v>
      </c>
    </row>
    <row r="472" spans="1:14" x14ac:dyDescent="0.35">
      <c r="A472" t="s">
        <v>517</v>
      </c>
      <c r="B472">
        <v>22</v>
      </c>
      <c r="C472" t="s">
        <v>19</v>
      </c>
      <c r="D472" t="s">
        <v>20</v>
      </c>
      <c r="E472">
        <v>10</v>
      </c>
      <c r="F472" t="s">
        <v>15</v>
      </c>
      <c r="G472">
        <v>2.58</v>
      </c>
      <c r="H472">
        <v>2.88</v>
      </c>
      <c r="I472">
        <f t="shared" si="7"/>
        <v>0.29999999999999982</v>
      </c>
      <c r="J472">
        <v>7</v>
      </c>
      <c r="K472" t="s">
        <v>32</v>
      </c>
      <c r="L472">
        <v>4</v>
      </c>
      <c r="M472" t="s">
        <v>74</v>
      </c>
      <c r="N472" t="str">
        <f>IF(Table1[[#This Row],[Age]]&lt;20,"Teen",IF(Table1[[#This Row],[Age]]&lt;=22,"Young Adult","Adult"))</f>
        <v>Young Adult</v>
      </c>
    </row>
    <row r="473" spans="1:14" x14ac:dyDescent="0.35">
      <c r="A473" t="s">
        <v>518</v>
      </c>
      <c r="B473">
        <v>24</v>
      </c>
      <c r="C473" t="s">
        <v>30</v>
      </c>
      <c r="D473" t="s">
        <v>25</v>
      </c>
      <c r="E473">
        <v>10</v>
      </c>
      <c r="F473" t="s">
        <v>15</v>
      </c>
      <c r="G473">
        <v>2.5099999999999998</v>
      </c>
      <c r="H473">
        <v>2.81</v>
      </c>
      <c r="I473">
        <f t="shared" si="7"/>
        <v>0.30000000000000027</v>
      </c>
      <c r="J473">
        <v>11</v>
      </c>
      <c r="K473" t="s">
        <v>32</v>
      </c>
      <c r="L473">
        <v>5</v>
      </c>
      <c r="M473" t="s">
        <v>45</v>
      </c>
      <c r="N473" t="str">
        <f>IF(Table1[[#This Row],[Age]]&lt;20,"Teen",IF(Table1[[#This Row],[Age]]&lt;=22,"Young Adult","Adult"))</f>
        <v>Adult</v>
      </c>
    </row>
    <row r="474" spans="1:14" x14ac:dyDescent="0.35">
      <c r="A474" t="s">
        <v>519</v>
      </c>
      <c r="B474">
        <v>19</v>
      </c>
      <c r="C474" t="s">
        <v>13</v>
      </c>
      <c r="D474" t="s">
        <v>14</v>
      </c>
      <c r="E474">
        <v>4</v>
      </c>
      <c r="F474" t="s">
        <v>40</v>
      </c>
      <c r="G474">
        <v>3.35</v>
      </c>
      <c r="H474">
        <v>3.55</v>
      </c>
      <c r="I474">
        <f t="shared" si="7"/>
        <v>0.19999999999999973</v>
      </c>
      <c r="J474">
        <v>2</v>
      </c>
      <c r="K474" t="s">
        <v>16</v>
      </c>
      <c r="L474">
        <v>7</v>
      </c>
      <c r="M474" t="s">
        <v>74</v>
      </c>
      <c r="N474" t="str">
        <f>IF(Table1[[#This Row],[Age]]&lt;20,"Teen",IF(Table1[[#This Row],[Age]]&lt;=22,"Young Adult","Adult"))</f>
        <v>Teen</v>
      </c>
    </row>
    <row r="475" spans="1:14" x14ac:dyDescent="0.35">
      <c r="A475" t="s">
        <v>520</v>
      </c>
      <c r="B475">
        <v>21</v>
      </c>
      <c r="C475" t="s">
        <v>24</v>
      </c>
      <c r="D475" t="s">
        <v>20</v>
      </c>
      <c r="E475">
        <v>6</v>
      </c>
      <c r="F475" t="s">
        <v>21</v>
      </c>
      <c r="G475">
        <v>2.91</v>
      </c>
      <c r="H475">
        <v>3.11</v>
      </c>
      <c r="I475">
        <f t="shared" si="7"/>
        <v>0.19999999999999973</v>
      </c>
      <c r="J475">
        <v>11</v>
      </c>
      <c r="K475" t="s">
        <v>27</v>
      </c>
      <c r="L475">
        <v>5</v>
      </c>
      <c r="M475" t="s">
        <v>17</v>
      </c>
      <c r="N475" t="str">
        <f>IF(Table1[[#This Row],[Age]]&lt;20,"Teen",IF(Table1[[#This Row],[Age]]&lt;=22,"Young Adult","Adult"))</f>
        <v>Young Adult</v>
      </c>
    </row>
    <row r="476" spans="1:14" x14ac:dyDescent="0.35">
      <c r="A476" t="s">
        <v>521</v>
      </c>
      <c r="B476">
        <v>20</v>
      </c>
      <c r="C476" t="s">
        <v>24</v>
      </c>
      <c r="D476" t="s">
        <v>14</v>
      </c>
      <c r="E476">
        <v>2</v>
      </c>
      <c r="F476" t="s">
        <v>21</v>
      </c>
      <c r="G476">
        <v>4</v>
      </c>
      <c r="H476">
        <v>4</v>
      </c>
      <c r="I476">
        <f t="shared" si="7"/>
        <v>0</v>
      </c>
      <c r="J476">
        <v>14</v>
      </c>
      <c r="K476" t="s">
        <v>16</v>
      </c>
      <c r="L476">
        <v>3</v>
      </c>
      <c r="M476" t="s">
        <v>28</v>
      </c>
      <c r="N476" t="str">
        <f>IF(Table1[[#This Row],[Age]]&lt;20,"Teen",IF(Table1[[#This Row],[Age]]&lt;=22,"Young Adult","Adult"))</f>
        <v>Young Adult</v>
      </c>
    </row>
    <row r="477" spans="1:14" x14ac:dyDescent="0.35">
      <c r="A477" t="s">
        <v>522</v>
      </c>
      <c r="B477">
        <v>19</v>
      </c>
      <c r="C477" t="s">
        <v>39</v>
      </c>
      <c r="D477" t="s">
        <v>20</v>
      </c>
      <c r="E477">
        <v>2</v>
      </c>
      <c r="F477" t="s">
        <v>15</v>
      </c>
      <c r="G477">
        <v>2.99</v>
      </c>
      <c r="H477">
        <v>2.89</v>
      </c>
      <c r="I477">
        <f t="shared" si="7"/>
        <v>-0.10000000000000009</v>
      </c>
      <c r="J477">
        <v>2</v>
      </c>
      <c r="K477" t="s">
        <v>16</v>
      </c>
      <c r="L477">
        <v>4</v>
      </c>
      <c r="M477" t="s">
        <v>28</v>
      </c>
      <c r="N477" t="str">
        <f>IF(Table1[[#This Row],[Age]]&lt;20,"Teen",IF(Table1[[#This Row],[Age]]&lt;=22,"Young Adult","Adult"))</f>
        <v>Teen</v>
      </c>
    </row>
    <row r="478" spans="1:14" x14ac:dyDescent="0.35">
      <c r="A478" t="s">
        <v>523</v>
      </c>
      <c r="B478">
        <v>22</v>
      </c>
      <c r="C478" t="s">
        <v>13</v>
      </c>
      <c r="D478" t="s">
        <v>31</v>
      </c>
      <c r="E478">
        <v>4</v>
      </c>
      <c r="F478" t="s">
        <v>21</v>
      </c>
      <c r="G478">
        <v>2.75</v>
      </c>
      <c r="H478">
        <v>2.65</v>
      </c>
      <c r="I478">
        <f t="shared" si="7"/>
        <v>-0.10000000000000009</v>
      </c>
      <c r="J478">
        <v>7</v>
      </c>
      <c r="K478" t="s">
        <v>27</v>
      </c>
      <c r="L478">
        <v>6</v>
      </c>
      <c r="M478" t="s">
        <v>50</v>
      </c>
      <c r="N478" t="str">
        <f>IF(Table1[[#This Row],[Age]]&lt;20,"Teen",IF(Table1[[#This Row],[Age]]&lt;=22,"Young Adult","Adult"))</f>
        <v>Young Adult</v>
      </c>
    </row>
    <row r="479" spans="1:14" x14ac:dyDescent="0.35">
      <c r="A479" t="s">
        <v>524</v>
      </c>
      <c r="B479">
        <v>21</v>
      </c>
      <c r="C479" t="s">
        <v>39</v>
      </c>
      <c r="D479" t="s">
        <v>25</v>
      </c>
      <c r="E479">
        <v>6</v>
      </c>
      <c r="F479" t="s">
        <v>26</v>
      </c>
      <c r="G479">
        <v>3.2</v>
      </c>
      <c r="H479">
        <v>3.4</v>
      </c>
      <c r="I479">
        <f t="shared" si="7"/>
        <v>0.19999999999999973</v>
      </c>
      <c r="J479">
        <v>14</v>
      </c>
      <c r="K479" t="s">
        <v>27</v>
      </c>
      <c r="L479">
        <v>7</v>
      </c>
      <c r="M479" t="s">
        <v>37</v>
      </c>
      <c r="N479" t="str">
        <f>IF(Table1[[#This Row],[Age]]&lt;20,"Teen",IF(Table1[[#This Row],[Age]]&lt;=22,"Young Adult","Adult"))</f>
        <v>Young Adult</v>
      </c>
    </row>
    <row r="480" spans="1:14" x14ac:dyDescent="0.35">
      <c r="A480" t="s">
        <v>525</v>
      </c>
      <c r="B480">
        <v>18</v>
      </c>
      <c r="C480" t="s">
        <v>30</v>
      </c>
      <c r="D480" t="s">
        <v>14</v>
      </c>
      <c r="E480">
        <v>3</v>
      </c>
      <c r="F480" t="s">
        <v>21</v>
      </c>
      <c r="G480">
        <v>2.65</v>
      </c>
      <c r="H480">
        <v>2.75</v>
      </c>
      <c r="I480">
        <f t="shared" si="7"/>
        <v>0.10000000000000009</v>
      </c>
      <c r="J480">
        <v>11</v>
      </c>
      <c r="K480" t="s">
        <v>27</v>
      </c>
      <c r="L480">
        <v>4</v>
      </c>
      <c r="M480" t="s">
        <v>100</v>
      </c>
      <c r="N480" t="str">
        <f>IF(Table1[[#This Row],[Age]]&lt;20,"Teen",IF(Table1[[#This Row],[Age]]&lt;=22,"Young Adult","Adult"))</f>
        <v>Teen</v>
      </c>
    </row>
    <row r="481" spans="1:14" x14ac:dyDescent="0.35">
      <c r="A481" t="s">
        <v>526</v>
      </c>
      <c r="B481">
        <v>23</v>
      </c>
      <c r="C481" t="s">
        <v>24</v>
      </c>
      <c r="D481" t="s">
        <v>20</v>
      </c>
      <c r="E481">
        <v>7</v>
      </c>
      <c r="F481" t="s">
        <v>56</v>
      </c>
      <c r="G481">
        <v>3.9</v>
      </c>
      <c r="H481">
        <v>4</v>
      </c>
      <c r="I481">
        <f t="shared" si="7"/>
        <v>0.10000000000000009</v>
      </c>
      <c r="J481">
        <v>3</v>
      </c>
      <c r="K481" t="s">
        <v>16</v>
      </c>
      <c r="L481">
        <v>4</v>
      </c>
      <c r="M481" t="s">
        <v>100</v>
      </c>
      <c r="N481" t="str">
        <f>IF(Table1[[#This Row],[Age]]&lt;20,"Teen",IF(Table1[[#This Row],[Age]]&lt;=22,"Young Adult","Adult"))</f>
        <v>Adult</v>
      </c>
    </row>
    <row r="482" spans="1:14" x14ac:dyDescent="0.35">
      <c r="A482" t="s">
        <v>527</v>
      </c>
      <c r="B482">
        <v>24</v>
      </c>
      <c r="C482" t="s">
        <v>24</v>
      </c>
      <c r="D482" t="s">
        <v>31</v>
      </c>
      <c r="E482">
        <v>4</v>
      </c>
      <c r="F482" t="s">
        <v>56</v>
      </c>
      <c r="G482">
        <v>3.8</v>
      </c>
      <c r="H482">
        <v>4</v>
      </c>
      <c r="I482">
        <f t="shared" si="7"/>
        <v>0.20000000000000018</v>
      </c>
      <c r="J482">
        <v>7</v>
      </c>
      <c r="K482" t="s">
        <v>27</v>
      </c>
      <c r="L482">
        <v>5</v>
      </c>
      <c r="M482" t="s">
        <v>48</v>
      </c>
      <c r="N482" t="str">
        <f>IF(Table1[[#This Row],[Age]]&lt;20,"Teen",IF(Table1[[#This Row],[Age]]&lt;=22,"Young Adult","Adult"))</f>
        <v>Adult</v>
      </c>
    </row>
    <row r="483" spans="1:14" x14ac:dyDescent="0.35">
      <c r="A483" t="s">
        <v>528</v>
      </c>
      <c r="B483">
        <v>22</v>
      </c>
      <c r="C483" t="s">
        <v>39</v>
      </c>
      <c r="D483" t="s">
        <v>25</v>
      </c>
      <c r="E483">
        <v>10</v>
      </c>
      <c r="F483" t="s">
        <v>56</v>
      </c>
      <c r="G483">
        <v>2.69</v>
      </c>
      <c r="H483">
        <v>2.79</v>
      </c>
      <c r="I483">
        <f t="shared" si="7"/>
        <v>0.10000000000000009</v>
      </c>
      <c r="J483">
        <v>15</v>
      </c>
      <c r="K483" t="s">
        <v>27</v>
      </c>
      <c r="L483">
        <v>4</v>
      </c>
      <c r="M483" t="s">
        <v>66</v>
      </c>
      <c r="N483" t="str">
        <f>IF(Table1[[#This Row],[Age]]&lt;20,"Teen",IF(Table1[[#This Row],[Age]]&lt;=22,"Young Adult","Adult"))</f>
        <v>Young Adult</v>
      </c>
    </row>
    <row r="484" spans="1:14" x14ac:dyDescent="0.35">
      <c r="A484" t="s">
        <v>529</v>
      </c>
      <c r="B484">
        <v>20</v>
      </c>
      <c r="C484" t="s">
        <v>19</v>
      </c>
      <c r="D484" t="s">
        <v>31</v>
      </c>
      <c r="E484">
        <v>5</v>
      </c>
      <c r="F484" t="s">
        <v>15</v>
      </c>
      <c r="G484">
        <v>3.78</v>
      </c>
      <c r="H484">
        <v>3.98</v>
      </c>
      <c r="I484">
        <f t="shared" si="7"/>
        <v>0.20000000000000018</v>
      </c>
      <c r="J484">
        <v>12</v>
      </c>
      <c r="K484" t="s">
        <v>16</v>
      </c>
      <c r="L484">
        <v>5</v>
      </c>
      <c r="M484" t="s">
        <v>60</v>
      </c>
      <c r="N484" t="str">
        <f>IF(Table1[[#This Row],[Age]]&lt;20,"Teen",IF(Table1[[#This Row],[Age]]&lt;=22,"Young Adult","Adult"))</f>
        <v>Young Adult</v>
      </c>
    </row>
    <row r="485" spans="1:14" x14ac:dyDescent="0.35">
      <c r="A485" t="s">
        <v>530</v>
      </c>
      <c r="B485">
        <v>23</v>
      </c>
      <c r="C485" t="s">
        <v>13</v>
      </c>
      <c r="D485" t="s">
        <v>14</v>
      </c>
      <c r="E485">
        <v>8</v>
      </c>
      <c r="F485" t="s">
        <v>26</v>
      </c>
      <c r="G485">
        <v>2.62</v>
      </c>
      <c r="H485">
        <v>2.72</v>
      </c>
      <c r="I485">
        <f t="shared" si="7"/>
        <v>0.10000000000000009</v>
      </c>
      <c r="J485">
        <v>14</v>
      </c>
      <c r="K485" t="s">
        <v>16</v>
      </c>
      <c r="L485">
        <v>10</v>
      </c>
      <c r="M485" t="s">
        <v>87</v>
      </c>
      <c r="N485" t="str">
        <f>IF(Table1[[#This Row],[Age]]&lt;20,"Teen",IF(Table1[[#This Row],[Age]]&lt;=22,"Young Adult","Adult"))</f>
        <v>Adult</v>
      </c>
    </row>
    <row r="486" spans="1:14" x14ac:dyDescent="0.35">
      <c r="A486" t="s">
        <v>531</v>
      </c>
      <c r="B486">
        <v>21</v>
      </c>
      <c r="C486" t="s">
        <v>19</v>
      </c>
      <c r="D486" t="s">
        <v>34</v>
      </c>
      <c r="E486">
        <v>6</v>
      </c>
      <c r="F486" t="s">
        <v>15</v>
      </c>
      <c r="G486">
        <v>3.23</v>
      </c>
      <c r="H486">
        <v>3.23</v>
      </c>
      <c r="I486">
        <f t="shared" si="7"/>
        <v>0</v>
      </c>
      <c r="J486">
        <v>3</v>
      </c>
      <c r="K486" t="s">
        <v>27</v>
      </c>
      <c r="L486">
        <v>9</v>
      </c>
      <c r="M486" t="s">
        <v>50</v>
      </c>
      <c r="N486" t="str">
        <f>IF(Table1[[#This Row],[Age]]&lt;20,"Teen",IF(Table1[[#This Row],[Age]]&lt;=22,"Young Adult","Adult"))</f>
        <v>Young Adult</v>
      </c>
    </row>
    <row r="487" spans="1:14" x14ac:dyDescent="0.35">
      <c r="A487" t="s">
        <v>532</v>
      </c>
      <c r="B487">
        <v>20</v>
      </c>
      <c r="C487" t="s">
        <v>39</v>
      </c>
      <c r="D487" t="s">
        <v>34</v>
      </c>
      <c r="E487">
        <v>2</v>
      </c>
      <c r="F487" t="s">
        <v>56</v>
      </c>
      <c r="G487">
        <v>2.61</v>
      </c>
      <c r="H487">
        <v>2.91</v>
      </c>
      <c r="I487">
        <f t="shared" si="7"/>
        <v>0.30000000000000027</v>
      </c>
      <c r="J487">
        <v>13</v>
      </c>
      <c r="K487" t="s">
        <v>16</v>
      </c>
      <c r="L487">
        <v>5</v>
      </c>
      <c r="M487" t="s">
        <v>50</v>
      </c>
      <c r="N487" t="str">
        <f>IF(Table1[[#This Row],[Age]]&lt;20,"Teen",IF(Table1[[#This Row],[Age]]&lt;=22,"Young Adult","Adult"))</f>
        <v>Young Adult</v>
      </c>
    </row>
    <row r="488" spans="1:14" x14ac:dyDescent="0.35">
      <c r="A488" t="s">
        <v>533</v>
      </c>
      <c r="B488">
        <v>19</v>
      </c>
      <c r="C488" t="s">
        <v>30</v>
      </c>
      <c r="D488" t="s">
        <v>25</v>
      </c>
      <c r="E488">
        <v>6</v>
      </c>
      <c r="F488" t="s">
        <v>21</v>
      </c>
      <c r="G488">
        <v>3.12</v>
      </c>
      <c r="H488">
        <v>3.12</v>
      </c>
      <c r="I488">
        <f t="shared" si="7"/>
        <v>0</v>
      </c>
      <c r="J488">
        <v>12</v>
      </c>
      <c r="K488" t="s">
        <v>32</v>
      </c>
      <c r="L488">
        <v>7</v>
      </c>
      <c r="M488" t="s">
        <v>64</v>
      </c>
      <c r="N488" t="str">
        <f>IF(Table1[[#This Row],[Age]]&lt;20,"Teen",IF(Table1[[#This Row],[Age]]&lt;=22,"Young Adult","Adult"))</f>
        <v>Teen</v>
      </c>
    </row>
    <row r="489" spans="1:14" x14ac:dyDescent="0.35">
      <c r="A489" t="s">
        <v>534</v>
      </c>
      <c r="B489">
        <v>18</v>
      </c>
      <c r="C489" t="s">
        <v>24</v>
      </c>
      <c r="D489" t="s">
        <v>14</v>
      </c>
      <c r="E489">
        <v>6</v>
      </c>
      <c r="F489" t="s">
        <v>56</v>
      </c>
      <c r="G489">
        <v>3.29</v>
      </c>
      <c r="H489">
        <v>3.29</v>
      </c>
      <c r="I489">
        <f t="shared" si="7"/>
        <v>0</v>
      </c>
      <c r="J489">
        <v>12</v>
      </c>
      <c r="K489" t="s">
        <v>27</v>
      </c>
      <c r="L489">
        <v>5</v>
      </c>
      <c r="M489" t="s">
        <v>43</v>
      </c>
      <c r="N489" t="str">
        <f>IF(Table1[[#This Row],[Age]]&lt;20,"Teen",IF(Table1[[#This Row],[Age]]&lt;=22,"Young Adult","Adult"))</f>
        <v>Teen</v>
      </c>
    </row>
    <row r="490" spans="1:14" x14ac:dyDescent="0.35">
      <c r="A490" t="s">
        <v>535</v>
      </c>
      <c r="B490">
        <v>23</v>
      </c>
      <c r="C490" t="s">
        <v>39</v>
      </c>
      <c r="D490" t="s">
        <v>14</v>
      </c>
      <c r="E490">
        <v>8</v>
      </c>
      <c r="F490" t="s">
        <v>56</v>
      </c>
      <c r="G490">
        <v>3.6</v>
      </c>
      <c r="H490">
        <v>3.9</v>
      </c>
      <c r="I490">
        <f t="shared" si="7"/>
        <v>0.29999999999999982</v>
      </c>
      <c r="J490">
        <v>3</v>
      </c>
      <c r="K490" t="s">
        <v>16</v>
      </c>
      <c r="L490">
        <v>7</v>
      </c>
      <c r="M490" t="s">
        <v>100</v>
      </c>
      <c r="N490" t="str">
        <f>IF(Table1[[#This Row],[Age]]&lt;20,"Teen",IF(Table1[[#This Row],[Age]]&lt;=22,"Young Adult","Adult"))</f>
        <v>Adult</v>
      </c>
    </row>
    <row r="491" spans="1:14" x14ac:dyDescent="0.35">
      <c r="A491" t="s">
        <v>536</v>
      </c>
      <c r="B491">
        <v>23</v>
      </c>
      <c r="C491" t="s">
        <v>39</v>
      </c>
      <c r="D491" t="s">
        <v>20</v>
      </c>
      <c r="E491">
        <v>7</v>
      </c>
      <c r="F491" t="s">
        <v>15</v>
      </c>
      <c r="G491">
        <v>3.42</v>
      </c>
      <c r="H491">
        <v>3.62</v>
      </c>
      <c r="I491">
        <f t="shared" si="7"/>
        <v>0.20000000000000018</v>
      </c>
      <c r="J491">
        <v>6</v>
      </c>
      <c r="K491" t="s">
        <v>32</v>
      </c>
      <c r="L491">
        <v>4</v>
      </c>
      <c r="M491" t="s">
        <v>48</v>
      </c>
      <c r="N491" t="str">
        <f>IF(Table1[[#This Row],[Age]]&lt;20,"Teen",IF(Table1[[#This Row],[Age]]&lt;=22,"Young Adult","Adult"))</f>
        <v>Adult</v>
      </c>
    </row>
    <row r="492" spans="1:14" x14ac:dyDescent="0.35">
      <c r="A492" t="s">
        <v>537</v>
      </c>
      <c r="B492">
        <v>19</v>
      </c>
      <c r="C492" t="s">
        <v>24</v>
      </c>
      <c r="D492" t="s">
        <v>20</v>
      </c>
      <c r="E492">
        <v>1</v>
      </c>
      <c r="F492" t="s">
        <v>40</v>
      </c>
      <c r="G492">
        <v>2.61</v>
      </c>
      <c r="H492">
        <v>2.5099999999999998</v>
      </c>
      <c r="I492">
        <f t="shared" si="7"/>
        <v>-0.10000000000000009</v>
      </c>
      <c r="J492">
        <v>8</v>
      </c>
      <c r="K492" t="s">
        <v>32</v>
      </c>
      <c r="L492">
        <v>8</v>
      </c>
      <c r="M492" t="s">
        <v>52</v>
      </c>
      <c r="N492" t="str">
        <f>IF(Table1[[#This Row],[Age]]&lt;20,"Teen",IF(Table1[[#This Row],[Age]]&lt;=22,"Young Adult","Adult"))</f>
        <v>Teen</v>
      </c>
    </row>
    <row r="493" spans="1:14" x14ac:dyDescent="0.35">
      <c r="A493" t="s">
        <v>538</v>
      </c>
      <c r="B493">
        <v>18</v>
      </c>
      <c r="C493" t="s">
        <v>39</v>
      </c>
      <c r="D493" t="s">
        <v>34</v>
      </c>
      <c r="E493">
        <v>8</v>
      </c>
      <c r="F493" t="s">
        <v>15</v>
      </c>
      <c r="G493">
        <v>3.37</v>
      </c>
      <c r="H493">
        <v>3.67</v>
      </c>
      <c r="I493">
        <f t="shared" si="7"/>
        <v>0.29999999999999982</v>
      </c>
      <c r="J493">
        <v>4</v>
      </c>
      <c r="K493" t="s">
        <v>32</v>
      </c>
      <c r="L493">
        <v>6</v>
      </c>
      <c r="M493" t="s">
        <v>28</v>
      </c>
      <c r="N493" t="str">
        <f>IF(Table1[[#This Row],[Age]]&lt;20,"Teen",IF(Table1[[#This Row],[Age]]&lt;=22,"Young Adult","Adult"))</f>
        <v>Teen</v>
      </c>
    </row>
    <row r="494" spans="1:14" x14ac:dyDescent="0.35">
      <c r="A494" t="s">
        <v>539</v>
      </c>
      <c r="B494">
        <v>18</v>
      </c>
      <c r="C494" t="s">
        <v>42</v>
      </c>
      <c r="D494" t="s">
        <v>25</v>
      </c>
      <c r="E494">
        <v>2</v>
      </c>
      <c r="F494" t="s">
        <v>21</v>
      </c>
      <c r="G494">
        <v>3.44</v>
      </c>
      <c r="H494">
        <v>3.74</v>
      </c>
      <c r="I494">
        <f t="shared" si="7"/>
        <v>0.30000000000000027</v>
      </c>
      <c r="J494">
        <v>9</v>
      </c>
      <c r="K494" t="s">
        <v>32</v>
      </c>
      <c r="L494">
        <v>1</v>
      </c>
      <c r="M494" t="s">
        <v>66</v>
      </c>
      <c r="N494" t="str">
        <f>IF(Table1[[#This Row],[Age]]&lt;20,"Teen",IF(Table1[[#This Row],[Age]]&lt;=22,"Young Adult","Adult"))</f>
        <v>Teen</v>
      </c>
    </row>
    <row r="495" spans="1:14" x14ac:dyDescent="0.35">
      <c r="A495" t="s">
        <v>540</v>
      </c>
      <c r="B495">
        <v>23</v>
      </c>
      <c r="C495" t="s">
        <v>42</v>
      </c>
      <c r="D495" t="s">
        <v>25</v>
      </c>
      <c r="E495">
        <v>4</v>
      </c>
      <c r="F495" t="s">
        <v>40</v>
      </c>
      <c r="G495">
        <v>2.82</v>
      </c>
      <c r="H495">
        <v>2.92</v>
      </c>
      <c r="I495">
        <f t="shared" si="7"/>
        <v>0.10000000000000009</v>
      </c>
      <c r="J495">
        <v>15</v>
      </c>
      <c r="K495" t="s">
        <v>32</v>
      </c>
      <c r="L495">
        <v>3</v>
      </c>
      <c r="M495" t="s">
        <v>35</v>
      </c>
      <c r="N495" t="str">
        <f>IF(Table1[[#This Row],[Age]]&lt;20,"Teen",IF(Table1[[#This Row],[Age]]&lt;=22,"Young Adult","Adult"))</f>
        <v>Adult</v>
      </c>
    </row>
    <row r="496" spans="1:14" x14ac:dyDescent="0.35">
      <c r="A496" t="s">
        <v>541</v>
      </c>
      <c r="B496">
        <v>22</v>
      </c>
      <c r="C496" t="s">
        <v>42</v>
      </c>
      <c r="D496" t="s">
        <v>20</v>
      </c>
      <c r="E496">
        <v>8</v>
      </c>
      <c r="F496" t="s">
        <v>40</v>
      </c>
      <c r="G496">
        <v>3.63</v>
      </c>
      <c r="H496">
        <v>3.63</v>
      </c>
      <c r="I496">
        <f t="shared" si="7"/>
        <v>0</v>
      </c>
      <c r="J496">
        <v>5</v>
      </c>
      <c r="K496" t="s">
        <v>32</v>
      </c>
      <c r="L496">
        <v>6</v>
      </c>
      <c r="M496" t="s">
        <v>48</v>
      </c>
      <c r="N496" t="str">
        <f>IF(Table1[[#This Row],[Age]]&lt;20,"Teen",IF(Table1[[#This Row],[Age]]&lt;=22,"Young Adult","Adult"))</f>
        <v>Young Adult</v>
      </c>
    </row>
    <row r="497" spans="1:14" x14ac:dyDescent="0.35">
      <c r="A497" t="s">
        <v>542</v>
      </c>
      <c r="B497">
        <v>23</v>
      </c>
      <c r="C497" t="s">
        <v>42</v>
      </c>
      <c r="D497" t="s">
        <v>25</v>
      </c>
      <c r="E497">
        <v>2</v>
      </c>
      <c r="F497" t="s">
        <v>15</v>
      </c>
      <c r="G497">
        <v>3.57</v>
      </c>
      <c r="H497">
        <v>3.47</v>
      </c>
      <c r="I497">
        <f t="shared" si="7"/>
        <v>-9.9999999999999645E-2</v>
      </c>
      <c r="J497">
        <v>11</v>
      </c>
      <c r="K497" t="s">
        <v>16</v>
      </c>
      <c r="L497">
        <v>9</v>
      </c>
      <c r="M497" t="s">
        <v>60</v>
      </c>
      <c r="N497" t="str">
        <f>IF(Table1[[#This Row],[Age]]&lt;20,"Teen",IF(Table1[[#This Row],[Age]]&lt;=22,"Young Adult","Adult"))</f>
        <v>Adult</v>
      </c>
    </row>
    <row r="498" spans="1:14" x14ac:dyDescent="0.35">
      <c r="A498" t="s">
        <v>543</v>
      </c>
      <c r="B498">
        <v>22</v>
      </c>
      <c r="C498" t="s">
        <v>39</v>
      </c>
      <c r="D498" t="s">
        <v>25</v>
      </c>
      <c r="E498">
        <v>10</v>
      </c>
      <c r="F498" t="s">
        <v>40</v>
      </c>
      <c r="G498">
        <v>3.82</v>
      </c>
      <c r="H498">
        <v>3.92</v>
      </c>
      <c r="I498">
        <f t="shared" si="7"/>
        <v>0.10000000000000009</v>
      </c>
      <c r="J498">
        <v>5</v>
      </c>
      <c r="K498" t="s">
        <v>16</v>
      </c>
      <c r="L498">
        <v>3</v>
      </c>
      <c r="M498" t="s">
        <v>60</v>
      </c>
      <c r="N498" t="str">
        <f>IF(Table1[[#This Row],[Age]]&lt;20,"Teen",IF(Table1[[#This Row],[Age]]&lt;=22,"Young Adult","Adult"))</f>
        <v>Young Adult</v>
      </c>
    </row>
    <row r="499" spans="1:14" x14ac:dyDescent="0.35">
      <c r="A499" t="s">
        <v>544</v>
      </c>
      <c r="B499">
        <v>25</v>
      </c>
      <c r="C499" t="s">
        <v>13</v>
      </c>
      <c r="D499" t="s">
        <v>20</v>
      </c>
      <c r="E499">
        <v>7</v>
      </c>
      <c r="F499" t="s">
        <v>26</v>
      </c>
      <c r="G499">
        <v>2.84</v>
      </c>
      <c r="H499">
        <v>3.14</v>
      </c>
      <c r="I499">
        <f t="shared" si="7"/>
        <v>0.30000000000000027</v>
      </c>
      <c r="J499">
        <v>12</v>
      </c>
      <c r="K499" t="s">
        <v>32</v>
      </c>
      <c r="L499">
        <v>8</v>
      </c>
      <c r="M499" t="s">
        <v>48</v>
      </c>
      <c r="N499" t="str">
        <f>IF(Table1[[#This Row],[Age]]&lt;20,"Teen",IF(Table1[[#This Row],[Age]]&lt;=22,"Young Adult","Adult"))</f>
        <v>Adult</v>
      </c>
    </row>
    <row r="500" spans="1:14" x14ac:dyDescent="0.35">
      <c r="A500" t="s">
        <v>545</v>
      </c>
      <c r="B500">
        <v>25</v>
      </c>
      <c r="C500" t="s">
        <v>13</v>
      </c>
      <c r="D500" t="s">
        <v>20</v>
      </c>
      <c r="E500">
        <v>7</v>
      </c>
      <c r="F500" t="s">
        <v>15</v>
      </c>
      <c r="G500">
        <v>3.19</v>
      </c>
      <c r="H500">
        <v>3.49</v>
      </c>
      <c r="I500">
        <f t="shared" si="7"/>
        <v>0.30000000000000027</v>
      </c>
      <c r="J500">
        <v>8</v>
      </c>
      <c r="K500" t="s">
        <v>27</v>
      </c>
      <c r="L500">
        <v>6</v>
      </c>
      <c r="M500" t="s">
        <v>43</v>
      </c>
      <c r="N500" t="str">
        <f>IF(Table1[[#This Row],[Age]]&lt;20,"Teen",IF(Table1[[#This Row],[Age]]&lt;=22,"Young Adult","Adult"))</f>
        <v>Adult</v>
      </c>
    </row>
  </sheetData>
  <phoneticPr fontId="18" type="noConversion"/>
  <conditionalFormatting sqref="A1:M500">
    <cfRule type="iconSet" priority="11">
      <iconSet iconSet="3Arrows">
        <cfvo type="percent" val="0"/>
        <cfvo type="percent" val="33"/>
        <cfvo type="percent" val="67"/>
      </iconSet>
    </cfRule>
  </conditionalFormatting>
  <conditionalFormatting sqref="R17">
    <cfRule type="iconSet" priority="10">
      <iconSet iconSet="3Arrows">
        <cfvo type="percent" val="0"/>
        <cfvo type="percent" val="33"/>
        <cfvo type="percent" val="67"/>
      </iconSet>
    </cfRule>
  </conditionalFormatting>
  <conditionalFormatting sqref="R18">
    <cfRule type="iconSet" priority="9">
      <iconSet iconSet="3Arrows">
        <cfvo type="percent" val="0"/>
        <cfvo type="percent" val="33"/>
        <cfvo type="percent" val="67"/>
      </iconSet>
    </cfRule>
  </conditionalFormatting>
  <conditionalFormatting sqref="R19">
    <cfRule type="iconSet" priority="8">
      <iconSet iconSet="3Arrows">
        <cfvo type="percent" val="0"/>
        <cfvo type="percent" val="33"/>
        <cfvo type="percent" val="67"/>
      </iconSet>
    </cfRule>
  </conditionalFormatting>
  <conditionalFormatting sqref="R20">
    <cfRule type="iconSet" priority="7">
      <iconSet iconSet="3Arrows">
        <cfvo type="percent" val="0"/>
        <cfvo type="percent" val="33"/>
        <cfvo type="percent" val="67"/>
      </iconSet>
    </cfRule>
  </conditionalFormatting>
  <conditionalFormatting sqref="R21">
    <cfRule type="iconSet" priority="6">
      <iconSet iconSet="3Arrows">
        <cfvo type="percent" val="0"/>
        <cfvo type="percent" val="33"/>
        <cfvo type="percent" val="67"/>
      </iconSet>
    </cfRule>
  </conditionalFormatting>
  <conditionalFormatting sqref="R22">
    <cfRule type="iconSet" priority="5">
      <iconSet iconSet="3Arrows">
        <cfvo type="percent" val="0"/>
        <cfvo type="percent" val="33"/>
        <cfvo type="percent" val="67"/>
      </iconSet>
    </cfRule>
  </conditionalFormatting>
  <conditionalFormatting sqref="R23">
    <cfRule type="iconSet" priority="4">
      <iconSet iconSet="3Arrows">
        <cfvo type="percent" val="0"/>
        <cfvo type="percent" val="33"/>
        <cfvo type="percent" val="67"/>
      </iconSet>
    </cfRule>
  </conditionalFormatting>
  <conditionalFormatting sqref="R24">
    <cfRule type="iconSet" priority="3">
      <iconSet iconSet="3Arrows">
        <cfvo type="percent" val="0"/>
        <cfvo type="percent" val="33"/>
        <cfvo type="percent" val="67"/>
      </iconSet>
    </cfRule>
  </conditionalFormatting>
  <conditionalFormatting sqref="R25">
    <cfRule type="iconSet" priority="2">
      <iconSet iconSet="3Arrows">
        <cfvo type="percent" val="0"/>
        <cfvo type="percent" val="33"/>
        <cfvo type="percent" val="67"/>
      </iconSet>
    </cfRule>
  </conditionalFormatting>
  <conditionalFormatting sqref="R26">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66B0-FC0B-4924-99F5-D595EA1A185B}">
  <dimension ref="A2:R22"/>
  <sheetViews>
    <sheetView topLeftCell="D1" workbookViewId="0">
      <selection activeCell="N4" sqref="N4"/>
    </sheetView>
  </sheetViews>
  <sheetFormatPr defaultRowHeight="14.5" x14ac:dyDescent="0.35"/>
  <cols>
    <col min="1" max="1" width="12.453125" bestFit="1" customWidth="1"/>
    <col min="2" max="2" width="20.90625" bestFit="1" customWidth="1"/>
    <col min="3" max="3" width="21.453125" bestFit="1" customWidth="1"/>
    <col min="4" max="4" width="12.453125" bestFit="1" customWidth="1"/>
    <col min="5" max="5" width="32.81640625" bestFit="1" customWidth="1"/>
    <col min="7" max="7" width="12.453125" bestFit="1" customWidth="1"/>
    <col min="8" max="8" width="17.7265625" bestFit="1" customWidth="1"/>
  </cols>
  <sheetData>
    <row r="2" spans="1:18" x14ac:dyDescent="0.35">
      <c r="A2" s="1" t="s">
        <v>546</v>
      </c>
      <c r="B2" t="s">
        <v>551</v>
      </c>
      <c r="C2" t="s">
        <v>549</v>
      </c>
      <c r="D2" t="s">
        <v>548</v>
      </c>
      <c r="G2" s="1" t="s">
        <v>562</v>
      </c>
      <c r="H2" t="s">
        <v>554</v>
      </c>
    </row>
    <row r="3" spans="1:18" x14ac:dyDescent="0.35">
      <c r="A3" s="2" t="s">
        <v>34</v>
      </c>
      <c r="B3">
        <v>9.8202247191011283E-2</v>
      </c>
      <c r="C3">
        <v>3.3467415730337073</v>
      </c>
      <c r="D3">
        <v>3.4449438202247182</v>
      </c>
      <c r="G3" s="2">
        <v>1</v>
      </c>
      <c r="H3">
        <v>3.05</v>
      </c>
    </row>
    <row r="4" spans="1:18" x14ac:dyDescent="0.35">
      <c r="A4" s="2" t="s">
        <v>547</v>
      </c>
      <c r="B4">
        <v>9.8202247191011283E-2</v>
      </c>
      <c r="C4">
        <v>3.3467415730337073</v>
      </c>
      <c r="D4">
        <v>3.4449438202247182</v>
      </c>
      <c r="G4" s="2">
        <v>2</v>
      </c>
      <c r="H4">
        <v>5.1000000000000032</v>
      </c>
      <c r="Q4" t="s">
        <v>546</v>
      </c>
      <c r="R4" t="s">
        <v>553</v>
      </c>
    </row>
    <row r="5" spans="1:18" x14ac:dyDescent="0.35">
      <c r="G5" s="2">
        <v>3</v>
      </c>
      <c r="H5">
        <v>3.990000000000002</v>
      </c>
      <c r="Q5" t="s">
        <v>74</v>
      </c>
      <c r="R5">
        <v>35</v>
      </c>
    </row>
    <row r="6" spans="1:18" x14ac:dyDescent="0.35">
      <c r="G6" s="2">
        <v>4</v>
      </c>
      <c r="H6">
        <v>5.59</v>
      </c>
      <c r="Q6" t="s">
        <v>100</v>
      </c>
      <c r="R6">
        <v>27</v>
      </c>
    </row>
    <row r="7" spans="1:18" x14ac:dyDescent="0.35">
      <c r="G7" s="2">
        <v>5</v>
      </c>
      <c r="H7">
        <v>3.6900000000000004</v>
      </c>
      <c r="Q7" t="s">
        <v>52</v>
      </c>
      <c r="R7">
        <v>27</v>
      </c>
    </row>
    <row r="8" spans="1:18" x14ac:dyDescent="0.35">
      <c r="G8" s="2">
        <v>6</v>
      </c>
      <c r="H8">
        <v>2.669999999999999</v>
      </c>
      <c r="Q8" t="s">
        <v>17</v>
      </c>
      <c r="R8">
        <v>35</v>
      </c>
    </row>
    <row r="9" spans="1:18" x14ac:dyDescent="0.35">
      <c r="G9" s="2">
        <v>7</v>
      </c>
      <c r="H9">
        <v>4.6400000000000023</v>
      </c>
      <c r="Q9" t="s">
        <v>60</v>
      </c>
      <c r="R9">
        <v>30</v>
      </c>
    </row>
    <row r="10" spans="1:18" x14ac:dyDescent="0.35">
      <c r="G10" s="2">
        <v>8</v>
      </c>
      <c r="H10">
        <v>4.3600000000000039</v>
      </c>
      <c r="Q10" t="s">
        <v>64</v>
      </c>
      <c r="R10">
        <v>36</v>
      </c>
    </row>
    <row r="11" spans="1:18" x14ac:dyDescent="0.35">
      <c r="A11" s="1" t="s">
        <v>546</v>
      </c>
      <c r="B11" t="s">
        <v>553</v>
      </c>
      <c r="D11" s="1" t="s">
        <v>546</v>
      </c>
      <c r="E11" t="s">
        <v>555</v>
      </c>
      <c r="G11" s="2">
        <v>9</v>
      </c>
      <c r="H11">
        <v>3.3100000000000005</v>
      </c>
      <c r="Q11" t="s">
        <v>28</v>
      </c>
      <c r="R11">
        <v>28</v>
      </c>
    </row>
    <row r="12" spans="1:18" x14ac:dyDescent="0.35">
      <c r="A12" s="2" t="s">
        <v>28</v>
      </c>
      <c r="B12">
        <v>28</v>
      </c>
      <c r="D12" s="2" t="s">
        <v>34</v>
      </c>
      <c r="E12">
        <v>5.8876404494382024</v>
      </c>
      <c r="G12" s="2">
        <v>10</v>
      </c>
      <c r="H12">
        <v>4.2899999999999991</v>
      </c>
      <c r="Q12" t="s">
        <v>43</v>
      </c>
      <c r="R12">
        <v>26</v>
      </c>
    </row>
    <row r="13" spans="1:18" x14ac:dyDescent="0.35">
      <c r="A13" s="2" t="s">
        <v>547</v>
      </c>
      <c r="B13">
        <v>28</v>
      </c>
      <c r="D13" s="2" t="s">
        <v>31</v>
      </c>
      <c r="E13">
        <v>5.6862745098039218</v>
      </c>
      <c r="G13" s="2" t="s">
        <v>547</v>
      </c>
      <c r="H13">
        <v>40.690000000000012</v>
      </c>
      <c r="Q13" t="s">
        <v>37</v>
      </c>
      <c r="R13">
        <v>32</v>
      </c>
    </row>
    <row r="14" spans="1:18" x14ac:dyDescent="0.35">
      <c r="D14" s="2" t="s">
        <v>14</v>
      </c>
      <c r="E14">
        <v>5.3684210526315788</v>
      </c>
      <c r="Q14" t="s">
        <v>22</v>
      </c>
      <c r="R14">
        <v>35</v>
      </c>
    </row>
    <row r="15" spans="1:18" x14ac:dyDescent="0.35">
      <c r="D15" s="2" t="s">
        <v>20</v>
      </c>
      <c r="E15">
        <v>5.2232142857142856</v>
      </c>
      <c r="Q15" t="s">
        <v>50</v>
      </c>
      <c r="R15">
        <v>39</v>
      </c>
    </row>
    <row r="16" spans="1:18" x14ac:dyDescent="0.35">
      <c r="D16" s="2" t="s">
        <v>25</v>
      </c>
      <c r="E16">
        <v>5.7722772277227721</v>
      </c>
      <c r="Q16" t="s">
        <v>35</v>
      </c>
      <c r="R16">
        <v>35</v>
      </c>
    </row>
    <row r="17" spans="4:18" x14ac:dyDescent="0.35">
      <c r="D17" s="2" t="s">
        <v>547</v>
      </c>
      <c r="E17">
        <v>5.5751503006012024</v>
      </c>
      <c r="Q17" t="s">
        <v>48</v>
      </c>
      <c r="R17">
        <v>36</v>
      </c>
    </row>
    <row r="18" spans="4:18" x14ac:dyDescent="0.35">
      <c r="Q18" t="s">
        <v>66</v>
      </c>
      <c r="R18">
        <v>32</v>
      </c>
    </row>
    <row r="19" spans="4:18" x14ac:dyDescent="0.35">
      <c r="G19" s="1" t="s">
        <v>546</v>
      </c>
      <c r="H19" t="s">
        <v>553</v>
      </c>
      <c r="Q19" t="s">
        <v>45</v>
      </c>
      <c r="R19">
        <v>24</v>
      </c>
    </row>
    <row r="20" spans="4:18" x14ac:dyDescent="0.35">
      <c r="D20" s="1" t="s">
        <v>546</v>
      </c>
      <c r="E20" t="s">
        <v>552</v>
      </c>
      <c r="G20" s="2" t="s">
        <v>16</v>
      </c>
      <c r="H20">
        <v>145</v>
      </c>
      <c r="Q20" t="s">
        <v>87</v>
      </c>
      <c r="R20">
        <v>22</v>
      </c>
    </row>
    <row r="21" spans="4:18" x14ac:dyDescent="0.35">
      <c r="D21" s="2" t="s">
        <v>24</v>
      </c>
      <c r="E21" s="9">
        <v>9.1411764705882348</v>
      </c>
      <c r="G21" s="2" t="s">
        <v>547</v>
      </c>
      <c r="H21">
        <v>145</v>
      </c>
      <c r="Q21" t="s">
        <v>547</v>
      </c>
      <c r="R21">
        <v>499</v>
      </c>
    </row>
    <row r="22" spans="4:18" x14ac:dyDescent="0.35">
      <c r="D22" s="2" t="s">
        <v>547</v>
      </c>
      <c r="E22" s="9">
        <v>9.1411764705882348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5C53E-D737-4682-9AC5-05D532389488}">
  <dimension ref="A3:F10"/>
  <sheetViews>
    <sheetView workbookViewId="0">
      <selection activeCell="B14" sqref="B14"/>
    </sheetView>
  </sheetViews>
  <sheetFormatPr defaultRowHeight="14.5" x14ac:dyDescent="0.35"/>
  <cols>
    <col min="1" max="1" width="12.6328125" bestFit="1" customWidth="1"/>
    <col min="2" max="2" width="21.7265625" bestFit="1" customWidth="1"/>
    <col min="5" max="5" width="20.453125" bestFit="1" customWidth="1"/>
    <col min="6" max="6" width="13" bestFit="1" customWidth="1"/>
  </cols>
  <sheetData>
    <row r="3" spans="1:6" x14ac:dyDescent="0.35">
      <c r="A3" s="1" t="s">
        <v>546</v>
      </c>
      <c r="B3" t="s">
        <v>560</v>
      </c>
      <c r="E3" s="1" t="s">
        <v>546</v>
      </c>
      <c r="F3" t="s">
        <v>563</v>
      </c>
    </row>
    <row r="4" spans="1:6" x14ac:dyDescent="0.35">
      <c r="A4" s="2" t="s">
        <v>20</v>
      </c>
      <c r="B4">
        <v>112</v>
      </c>
      <c r="E4" s="2" t="s">
        <v>30</v>
      </c>
      <c r="F4">
        <v>86</v>
      </c>
    </row>
    <row r="5" spans="1:6" x14ac:dyDescent="0.35">
      <c r="A5" s="2" t="s">
        <v>31</v>
      </c>
      <c r="B5">
        <v>102</v>
      </c>
      <c r="E5" s="2" t="s">
        <v>39</v>
      </c>
      <c r="F5">
        <v>90</v>
      </c>
    </row>
    <row r="6" spans="1:6" x14ac:dyDescent="0.35">
      <c r="A6" s="2" t="s">
        <v>25</v>
      </c>
      <c r="B6">
        <v>101</v>
      </c>
      <c r="E6" s="2" t="s">
        <v>24</v>
      </c>
      <c r="F6">
        <v>85</v>
      </c>
    </row>
    <row r="7" spans="1:6" x14ac:dyDescent="0.35">
      <c r="A7" s="2" t="s">
        <v>14</v>
      </c>
      <c r="B7">
        <v>95</v>
      </c>
      <c r="E7" s="2" t="s">
        <v>42</v>
      </c>
      <c r="F7">
        <v>95</v>
      </c>
    </row>
    <row r="8" spans="1:6" x14ac:dyDescent="0.35">
      <c r="A8" s="2" t="s">
        <v>34</v>
      </c>
      <c r="B8">
        <v>89</v>
      </c>
      <c r="E8" s="2" t="s">
        <v>19</v>
      </c>
      <c r="F8">
        <v>69</v>
      </c>
    </row>
    <row r="9" spans="1:6" x14ac:dyDescent="0.35">
      <c r="A9" s="2" t="s">
        <v>547</v>
      </c>
      <c r="B9">
        <v>499</v>
      </c>
      <c r="E9" s="2" t="s">
        <v>13</v>
      </c>
      <c r="F9">
        <v>74</v>
      </c>
    </row>
    <row r="10" spans="1:6" x14ac:dyDescent="0.35">
      <c r="E10" s="2" t="s">
        <v>547</v>
      </c>
      <c r="F10">
        <v>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90337-CFA6-43A4-871C-48B4081DA988}">
  <dimension ref="D4:S144"/>
  <sheetViews>
    <sheetView tabSelected="1" topLeftCell="A35" zoomScale="54" zoomScaleNormal="86" workbookViewId="0">
      <selection activeCell="A69" sqref="A69"/>
    </sheetView>
  </sheetViews>
  <sheetFormatPr defaultRowHeight="14.5" x14ac:dyDescent="0.35"/>
  <sheetData>
    <row r="4" spans="4:19" x14ac:dyDescent="0.35">
      <c r="D4" s="7"/>
      <c r="E4" s="7"/>
      <c r="F4" s="7"/>
      <c r="G4" s="7"/>
      <c r="H4" s="7"/>
      <c r="I4" s="7"/>
      <c r="J4" s="7"/>
      <c r="K4" s="7"/>
      <c r="L4" s="7"/>
      <c r="M4" s="7"/>
      <c r="N4" s="7"/>
      <c r="O4" s="7"/>
      <c r="P4" s="7"/>
      <c r="Q4" s="7"/>
      <c r="R4" s="7"/>
      <c r="S4" s="7"/>
    </row>
    <row r="5" spans="4:19" x14ac:dyDescent="0.35">
      <c r="D5" s="7"/>
      <c r="E5" s="7"/>
      <c r="F5" s="7"/>
      <c r="G5" s="7"/>
      <c r="H5" s="7"/>
      <c r="I5" s="7"/>
      <c r="J5" s="7"/>
      <c r="K5" s="7"/>
      <c r="L5" s="7"/>
      <c r="M5" s="7"/>
      <c r="N5" s="7"/>
      <c r="O5" s="7"/>
      <c r="P5" s="7"/>
      <c r="Q5" s="7"/>
      <c r="R5" s="7"/>
      <c r="S5" s="7"/>
    </row>
    <row r="6" spans="4:19" x14ac:dyDescent="0.35">
      <c r="D6" s="7"/>
      <c r="E6" s="7"/>
      <c r="F6" s="7"/>
      <c r="G6" s="7"/>
      <c r="H6" s="7"/>
      <c r="I6" s="7"/>
      <c r="J6" s="7"/>
      <c r="K6" s="7"/>
      <c r="L6" s="7"/>
      <c r="M6" s="7"/>
      <c r="N6" s="7"/>
      <c r="O6" s="7"/>
      <c r="P6" s="7"/>
      <c r="Q6" s="7"/>
      <c r="R6" s="7"/>
      <c r="S6" s="7"/>
    </row>
    <row r="7" spans="4:19" x14ac:dyDescent="0.35">
      <c r="D7" s="7"/>
      <c r="E7" s="7"/>
      <c r="F7" s="7"/>
      <c r="G7" s="7"/>
      <c r="H7" s="7"/>
      <c r="I7" s="7"/>
      <c r="J7" s="7"/>
      <c r="K7" s="7"/>
      <c r="L7" s="7"/>
      <c r="M7" s="7"/>
      <c r="N7" s="7"/>
      <c r="O7" s="7"/>
      <c r="P7" s="7"/>
      <c r="Q7" s="7"/>
      <c r="R7" s="7"/>
      <c r="S7" s="7"/>
    </row>
    <row r="8" spans="4:19" x14ac:dyDescent="0.35">
      <c r="D8" s="7"/>
      <c r="E8" s="7"/>
      <c r="F8" s="7"/>
      <c r="G8" s="7"/>
      <c r="H8" s="7"/>
      <c r="I8" s="7"/>
      <c r="J8" s="7"/>
      <c r="K8" s="7"/>
      <c r="L8" s="7"/>
      <c r="M8" s="7"/>
      <c r="N8" s="7"/>
      <c r="O8" s="7"/>
      <c r="P8" s="7"/>
      <c r="Q8" s="7"/>
      <c r="R8" s="7"/>
      <c r="S8" s="7"/>
    </row>
    <row r="9" spans="4:19" x14ac:dyDescent="0.35">
      <c r="D9" s="7"/>
      <c r="E9" s="7"/>
      <c r="F9" s="7"/>
      <c r="G9" s="7"/>
      <c r="H9" s="7"/>
      <c r="I9" s="7"/>
      <c r="J9" s="7"/>
      <c r="K9" s="7"/>
      <c r="L9" s="7"/>
      <c r="M9" s="7"/>
      <c r="N9" s="7"/>
      <c r="O9" s="7"/>
      <c r="P9" s="7"/>
      <c r="Q9" s="7"/>
      <c r="R9" s="7"/>
      <c r="S9" s="7"/>
    </row>
    <row r="10" spans="4:19" x14ac:dyDescent="0.35">
      <c r="D10" s="7"/>
      <c r="E10" s="7"/>
      <c r="F10" s="7"/>
      <c r="G10" s="7"/>
      <c r="H10" s="7"/>
      <c r="I10" s="7"/>
      <c r="J10" s="7"/>
      <c r="K10" s="7"/>
      <c r="L10" s="7"/>
      <c r="M10" s="7"/>
      <c r="N10" s="7"/>
      <c r="O10" s="7"/>
      <c r="P10" s="7"/>
      <c r="Q10" s="7"/>
      <c r="R10" s="7"/>
      <c r="S10" s="7"/>
    </row>
    <row r="11" spans="4:19" x14ac:dyDescent="0.35">
      <c r="D11" s="7"/>
      <c r="E11" s="7"/>
      <c r="F11" s="7"/>
      <c r="G11" s="7"/>
      <c r="H11" s="7"/>
      <c r="I11" s="7"/>
      <c r="J11" s="7"/>
      <c r="K11" s="7"/>
      <c r="L11" s="7"/>
      <c r="M11" s="7"/>
      <c r="N11" s="7"/>
      <c r="O11" s="7"/>
      <c r="P11" s="7"/>
      <c r="Q11" s="7"/>
      <c r="R11" s="7"/>
      <c r="S11" s="7"/>
    </row>
    <row r="12" spans="4:19" x14ac:dyDescent="0.35">
      <c r="D12" s="7"/>
      <c r="E12" s="7"/>
      <c r="F12" s="7"/>
      <c r="G12" s="7"/>
      <c r="H12" s="7"/>
      <c r="I12" s="7"/>
      <c r="J12" s="7"/>
      <c r="K12" s="7"/>
      <c r="L12" s="7"/>
      <c r="M12" s="7"/>
      <c r="N12" s="7"/>
      <c r="O12" s="7"/>
      <c r="P12" s="7"/>
      <c r="Q12" s="7"/>
      <c r="R12" s="7"/>
      <c r="S12" s="7"/>
    </row>
    <row r="13" spans="4:19" x14ac:dyDescent="0.35">
      <c r="D13" s="7"/>
      <c r="E13" s="7"/>
      <c r="F13" s="7"/>
      <c r="G13" s="7"/>
      <c r="H13" s="7"/>
      <c r="I13" s="7"/>
      <c r="J13" s="7"/>
      <c r="K13" s="7"/>
      <c r="L13" s="7"/>
      <c r="M13" s="7"/>
      <c r="N13" s="7"/>
      <c r="O13" s="7"/>
      <c r="P13" s="7"/>
      <c r="Q13" s="7"/>
      <c r="R13" s="7"/>
      <c r="S13" s="7"/>
    </row>
    <row r="14" spans="4:19" x14ac:dyDescent="0.35">
      <c r="D14" s="7"/>
      <c r="E14" s="7"/>
      <c r="F14" s="7"/>
      <c r="G14" s="7"/>
      <c r="H14" s="7"/>
      <c r="I14" s="7"/>
      <c r="J14" s="7"/>
      <c r="K14" s="7"/>
      <c r="L14" s="7"/>
      <c r="M14" s="7"/>
      <c r="N14" s="7"/>
      <c r="O14" s="7"/>
      <c r="P14" s="7"/>
      <c r="Q14" s="7"/>
      <c r="R14" s="7"/>
      <c r="S14" s="7"/>
    </row>
    <row r="15" spans="4:19" x14ac:dyDescent="0.35">
      <c r="D15" s="7"/>
      <c r="E15" s="7"/>
      <c r="F15" s="7"/>
      <c r="G15" s="7"/>
      <c r="H15" s="7"/>
      <c r="I15" s="7"/>
      <c r="J15" s="7"/>
      <c r="K15" s="7"/>
      <c r="L15" s="7"/>
      <c r="M15" s="7"/>
      <c r="N15" s="7"/>
      <c r="O15" s="7"/>
      <c r="P15" s="7"/>
      <c r="Q15" s="7"/>
      <c r="R15" s="7"/>
      <c r="S15" s="7"/>
    </row>
    <row r="16" spans="4:19" x14ac:dyDescent="0.35">
      <c r="D16" s="7"/>
      <c r="E16" s="7"/>
      <c r="F16" s="7"/>
      <c r="G16" s="7"/>
      <c r="H16" s="7"/>
      <c r="I16" s="7"/>
      <c r="J16" s="7"/>
      <c r="K16" s="7"/>
      <c r="L16" s="7"/>
      <c r="M16" s="7"/>
      <c r="N16" s="7"/>
      <c r="O16" s="7"/>
      <c r="P16" s="7"/>
      <c r="Q16" s="7"/>
      <c r="R16" s="7"/>
      <c r="S16" s="7"/>
    </row>
    <row r="17" spans="4:19" x14ac:dyDescent="0.35">
      <c r="D17" s="7"/>
      <c r="E17" s="7"/>
      <c r="F17" s="7"/>
      <c r="G17" s="7"/>
      <c r="H17" s="7"/>
      <c r="I17" s="7"/>
      <c r="J17" s="7"/>
      <c r="K17" s="7"/>
      <c r="L17" s="7"/>
      <c r="M17" s="7"/>
      <c r="N17" s="7"/>
      <c r="O17" s="7"/>
      <c r="P17" s="7"/>
      <c r="Q17" s="7"/>
      <c r="R17" s="7"/>
      <c r="S17" s="7"/>
    </row>
    <row r="18" spans="4:19" x14ac:dyDescent="0.35">
      <c r="D18" s="7"/>
      <c r="E18" s="7"/>
      <c r="F18" s="7"/>
      <c r="G18" s="7"/>
      <c r="H18" s="7"/>
      <c r="I18" s="7"/>
      <c r="J18" s="7"/>
      <c r="K18" s="7"/>
      <c r="L18" s="7"/>
      <c r="M18" s="7"/>
      <c r="N18" s="7"/>
      <c r="O18" s="7"/>
      <c r="P18" s="7"/>
      <c r="Q18" s="7"/>
      <c r="R18" s="7"/>
      <c r="S18" s="7"/>
    </row>
    <row r="19" spans="4:19" x14ac:dyDescent="0.35">
      <c r="D19" s="7"/>
      <c r="E19" s="7"/>
      <c r="F19" s="7"/>
      <c r="G19" s="7"/>
      <c r="H19" s="7"/>
      <c r="I19" s="7"/>
      <c r="J19" s="7"/>
      <c r="K19" s="7"/>
      <c r="L19" s="7"/>
      <c r="M19" s="7"/>
      <c r="N19" s="7"/>
      <c r="O19" s="7"/>
      <c r="P19" s="7"/>
      <c r="Q19" s="7"/>
      <c r="R19" s="7"/>
      <c r="S19" s="7"/>
    </row>
    <row r="20" spans="4:19" x14ac:dyDescent="0.35">
      <c r="D20" s="7"/>
      <c r="E20" s="7"/>
      <c r="F20" s="7"/>
      <c r="G20" s="7"/>
      <c r="H20" s="7"/>
      <c r="I20" s="7"/>
      <c r="J20" s="7"/>
      <c r="K20" s="7"/>
      <c r="L20" s="7"/>
      <c r="M20" s="7"/>
      <c r="N20" s="7"/>
      <c r="O20" s="7"/>
      <c r="P20" s="7"/>
      <c r="Q20" s="7"/>
      <c r="R20" s="7"/>
      <c r="S20" s="7"/>
    </row>
    <row r="21" spans="4:19" x14ac:dyDescent="0.35">
      <c r="D21" s="7"/>
      <c r="E21" s="7"/>
      <c r="F21" s="7"/>
      <c r="G21" s="7"/>
      <c r="H21" s="7"/>
      <c r="I21" s="7"/>
      <c r="J21" s="7"/>
      <c r="K21" s="7"/>
      <c r="L21" s="7"/>
      <c r="M21" s="7"/>
      <c r="N21" s="7"/>
      <c r="O21" s="7"/>
      <c r="P21" s="7"/>
      <c r="Q21" s="7"/>
      <c r="R21" s="7"/>
      <c r="S21" s="7"/>
    </row>
    <row r="22" spans="4:19" x14ac:dyDescent="0.35">
      <c r="D22" s="7"/>
      <c r="E22" s="7"/>
      <c r="F22" s="7"/>
      <c r="G22" s="7"/>
      <c r="H22" s="7"/>
      <c r="I22" s="7"/>
      <c r="J22" s="7"/>
      <c r="K22" s="7"/>
      <c r="L22" s="7"/>
      <c r="M22" s="7"/>
      <c r="N22" s="7"/>
      <c r="O22" s="7"/>
      <c r="P22" s="7"/>
      <c r="Q22" s="7"/>
      <c r="R22" s="7"/>
      <c r="S22" s="7"/>
    </row>
    <row r="23" spans="4:19" x14ac:dyDescent="0.35">
      <c r="D23" s="7"/>
      <c r="E23" s="7"/>
      <c r="F23" s="7"/>
      <c r="G23" s="7"/>
      <c r="H23" s="7"/>
      <c r="I23" s="7"/>
      <c r="J23" s="7"/>
      <c r="K23" s="7"/>
      <c r="L23" s="7"/>
      <c r="M23" s="7"/>
      <c r="N23" s="7"/>
      <c r="O23" s="7"/>
      <c r="P23" s="7"/>
      <c r="Q23" s="7"/>
      <c r="R23" s="7"/>
      <c r="S23" s="7"/>
    </row>
    <row r="24" spans="4:19" x14ac:dyDescent="0.35">
      <c r="D24" s="7"/>
      <c r="E24" s="7"/>
      <c r="F24" s="7"/>
      <c r="G24" s="7"/>
      <c r="H24" s="7"/>
      <c r="I24" s="7"/>
      <c r="J24" s="7"/>
      <c r="K24" s="7"/>
      <c r="L24" s="7"/>
      <c r="M24" s="7"/>
      <c r="N24" s="7"/>
      <c r="O24" s="7"/>
      <c r="P24" s="7"/>
      <c r="Q24" s="7"/>
      <c r="R24" s="7"/>
      <c r="S24" s="7"/>
    </row>
    <row r="25" spans="4:19" x14ac:dyDescent="0.35">
      <c r="D25" s="7"/>
      <c r="E25" s="7"/>
      <c r="F25" s="7"/>
      <c r="G25" s="7"/>
      <c r="H25" s="7"/>
      <c r="I25" s="7"/>
      <c r="J25" s="7"/>
      <c r="K25" s="7"/>
      <c r="L25" s="7"/>
      <c r="M25" s="7"/>
      <c r="N25" s="7"/>
      <c r="O25" s="7"/>
      <c r="P25" s="7"/>
      <c r="Q25" s="7"/>
      <c r="R25" s="7"/>
      <c r="S25" s="7"/>
    </row>
    <row r="26" spans="4:19" x14ac:dyDescent="0.35">
      <c r="D26" s="7"/>
      <c r="E26" s="7"/>
      <c r="F26" s="7"/>
      <c r="G26" s="7"/>
      <c r="H26" s="7"/>
      <c r="I26" s="7"/>
      <c r="J26" s="7"/>
      <c r="K26" s="7"/>
      <c r="L26" s="7"/>
      <c r="M26" s="7"/>
      <c r="N26" s="7"/>
      <c r="O26" s="7"/>
      <c r="P26" s="7"/>
      <c r="Q26" s="7"/>
      <c r="R26" s="7"/>
      <c r="S26" s="7"/>
    </row>
    <row r="27" spans="4:19" x14ac:dyDescent="0.35">
      <c r="D27" s="7"/>
      <c r="E27" s="7"/>
      <c r="F27" s="7"/>
      <c r="G27" s="7"/>
      <c r="H27" s="7"/>
      <c r="I27" s="7"/>
      <c r="J27" s="7"/>
      <c r="K27" s="7"/>
      <c r="L27" s="7"/>
      <c r="M27" s="7"/>
      <c r="N27" s="7"/>
      <c r="O27" s="7"/>
      <c r="P27" s="7"/>
      <c r="Q27" s="7"/>
      <c r="R27" s="7"/>
      <c r="S27" s="7"/>
    </row>
    <row r="28" spans="4:19" x14ac:dyDescent="0.35">
      <c r="D28" s="7"/>
      <c r="E28" s="7"/>
      <c r="F28" s="7"/>
      <c r="G28" s="7"/>
      <c r="H28" s="7"/>
      <c r="I28" s="7"/>
      <c r="J28" s="7"/>
      <c r="K28" s="7"/>
      <c r="L28" s="7"/>
      <c r="M28" s="7"/>
      <c r="N28" s="7"/>
      <c r="O28" s="7"/>
      <c r="P28" s="7"/>
      <c r="Q28" s="7"/>
      <c r="R28" s="7"/>
      <c r="S28" s="7"/>
    </row>
    <row r="29" spans="4:19" x14ac:dyDescent="0.35">
      <c r="D29" s="7"/>
      <c r="E29" s="7"/>
      <c r="F29" s="7"/>
      <c r="G29" s="7"/>
      <c r="H29" s="7"/>
      <c r="I29" s="7"/>
      <c r="J29" s="7"/>
      <c r="K29" s="7"/>
      <c r="L29" s="7"/>
      <c r="M29" s="7"/>
      <c r="N29" s="7"/>
      <c r="O29" s="7"/>
      <c r="P29" s="7"/>
      <c r="Q29" s="7"/>
      <c r="R29" s="7"/>
      <c r="S29" s="7"/>
    </row>
    <row r="30" spans="4:19" x14ac:dyDescent="0.35">
      <c r="D30" s="7"/>
      <c r="E30" s="7"/>
      <c r="F30" s="7"/>
      <c r="G30" s="7"/>
      <c r="H30" s="7"/>
      <c r="I30" s="7"/>
      <c r="J30" s="7"/>
      <c r="K30" s="7"/>
      <c r="L30" s="7"/>
      <c r="M30" s="7"/>
      <c r="N30" s="7"/>
      <c r="O30" s="7"/>
      <c r="P30" s="7"/>
      <c r="Q30" s="7"/>
      <c r="R30" s="7"/>
      <c r="S30" s="7"/>
    </row>
    <row r="31" spans="4:19" x14ac:dyDescent="0.35">
      <c r="D31" s="7"/>
      <c r="E31" s="7"/>
      <c r="F31" s="7"/>
      <c r="G31" s="7"/>
      <c r="H31" s="7"/>
      <c r="I31" s="7"/>
      <c r="J31" s="7"/>
      <c r="K31" s="7"/>
      <c r="L31" s="7"/>
      <c r="M31" s="7"/>
      <c r="N31" s="7"/>
      <c r="O31" s="7"/>
      <c r="P31" s="7"/>
      <c r="Q31" s="7"/>
      <c r="R31" s="7"/>
      <c r="S31" s="7"/>
    </row>
    <row r="32" spans="4:19" x14ac:dyDescent="0.35">
      <c r="D32" s="7"/>
      <c r="E32" s="7"/>
      <c r="F32" s="7"/>
      <c r="G32" s="7"/>
      <c r="H32" s="7"/>
      <c r="I32" s="7"/>
      <c r="J32" s="7"/>
      <c r="K32" s="7"/>
      <c r="L32" s="7"/>
      <c r="M32" s="7"/>
      <c r="N32" s="7"/>
      <c r="O32" s="7"/>
      <c r="P32" s="7"/>
      <c r="Q32" s="7"/>
      <c r="R32" s="7"/>
      <c r="S32" s="7"/>
    </row>
    <row r="33" spans="4:19" x14ac:dyDescent="0.35">
      <c r="D33" s="7"/>
      <c r="E33" s="7"/>
      <c r="F33" s="7"/>
      <c r="G33" s="7"/>
      <c r="H33" s="7"/>
      <c r="I33" s="7"/>
      <c r="J33" s="7"/>
      <c r="K33" s="7"/>
      <c r="L33" s="7"/>
      <c r="M33" s="7"/>
      <c r="N33" s="7"/>
      <c r="O33" s="7"/>
      <c r="P33" s="7"/>
      <c r="Q33" s="7"/>
      <c r="R33" s="7"/>
      <c r="S33" s="7"/>
    </row>
    <row r="34" spans="4:19" x14ac:dyDescent="0.35">
      <c r="D34" s="7"/>
      <c r="E34" s="7"/>
      <c r="F34" s="7"/>
      <c r="G34" s="7"/>
      <c r="H34" s="7"/>
      <c r="I34" s="7"/>
      <c r="J34" s="7"/>
      <c r="K34" s="7"/>
      <c r="L34" s="7"/>
      <c r="M34" s="7"/>
      <c r="N34" s="7"/>
      <c r="O34" s="7"/>
      <c r="P34" s="7"/>
      <c r="Q34" s="7"/>
      <c r="R34" s="7"/>
      <c r="S34" s="7"/>
    </row>
    <row r="35" spans="4:19" x14ac:dyDescent="0.35">
      <c r="D35" s="7"/>
      <c r="E35" s="7"/>
      <c r="F35" s="7"/>
      <c r="G35" s="7"/>
      <c r="H35" s="7"/>
      <c r="I35" s="7"/>
      <c r="J35" s="7"/>
      <c r="K35" s="7"/>
      <c r="L35" s="7"/>
      <c r="M35" s="7"/>
      <c r="N35" s="7"/>
      <c r="O35" s="7"/>
      <c r="P35" s="7"/>
      <c r="Q35" s="7"/>
      <c r="R35" s="7"/>
      <c r="S35" s="7"/>
    </row>
    <row r="36" spans="4:19" x14ac:dyDescent="0.35">
      <c r="D36" s="7"/>
      <c r="E36" s="7"/>
      <c r="F36" s="7"/>
      <c r="G36" s="7"/>
      <c r="H36" s="7"/>
      <c r="I36" s="7"/>
      <c r="J36" s="7"/>
      <c r="K36" s="7"/>
      <c r="L36" s="7"/>
      <c r="M36" s="7"/>
      <c r="N36" s="7"/>
      <c r="O36" s="7"/>
      <c r="P36" s="7"/>
      <c r="Q36" s="7"/>
      <c r="R36" s="7"/>
      <c r="S36" s="7"/>
    </row>
    <row r="37" spans="4:19" x14ac:dyDescent="0.35">
      <c r="D37" s="7"/>
      <c r="E37" s="7"/>
      <c r="F37" s="7"/>
      <c r="G37" s="7"/>
      <c r="H37" s="7"/>
      <c r="I37" s="7"/>
      <c r="J37" s="7"/>
      <c r="K37" s="7"/>
      <c r="L37" s="7"/>
      <c r="M37" s="7"/>
      <c r="N37" s="7"/>
      <c r="O37" s="7"/>
      <c r="P37" s="7"/>
      <c r="Q37" s="7"/>
      <c r="R37" s="7"/>
      <c r="S37" s="7"/>
    </row>
    <row r="38" spans="4:19" x14ac:dyDescent="0.35">
      <c r="D38" s="7"/>
      <c r="E38" s="7"/>
      <c r="F38" s="7"/>
      <c r="G38" s="7"/>
      <c r="H38" s="7"/>
      <c r="I38" s="7"/>
      <c r="J38" s="7"/>
      <c r="K38" s="7"/>
      <c r="L38" s="7"/>
      <c r="M38" s="7"/>
      <c r="N38" s="7"/>
      <c r="O38" s="7"/>
      <c r="P38" s="7"/>
      <c r="Q38" s="7"/>
      <c r="R38" s="7"/>
      <c r="S38" s="7"/>
    </row>
    <row r="39" spans="4:19" x14ac:dyDescent="0.35">
      <c r="D39" s="7"/>
      <c r="E39" s="7"/>
      <c r="F39" s="7"/>
      <c r="G39" s="7"/>
      <c r="H39" s="7"/>
      <c r="I39" s="7"/>
      <c r="J39" s="7"/>
      <c r="K39" s="7"/>
      <c r="L39" s="7"/>
      <c r="M39" s="7"/>
      <c r="N39" s="7"/>
      <c r="O39" s="7"/>
      <c r="P39" s="7"/>
      <c r="Q39" s="7"/>
      <c r="R39" s="7"/>
      <c r="S39" s="7"/>
    </row>
    <row r="40" spans="4:19" x14ac:dyDescent="0.35">
      <c r="D40" s="7"/>
      <c r="E40" s="7"/>
      <c r="F40" s="7"/>
      <c r="G40" s="7"/>
      <c r="H40" s="7"/>
      <c r="I40" s="7"/>
      <c r="J40" s="7"/>
      <c r="K40" s="7"/>
      <c r="L40" s="7"/>
      <c r="M40" s="7"/>
      <c r="N40" s="7"/>
      <c r="O40" s="7"/>
      <c r="P40" s="7"/>
      <c r="Q40" s="7"/>
      <c r="R40" s="7"/>
      <c r="S40" s="7"/>
    </row>
    <row r="41" spans="4:19" x14ac:dyDescent="0.35">
      <c r="D41" s="7"/>
      <c r="E41" s="7"/>
      <c r="F41" s="7"/>
      <c r="G41" s="7"/>
      <c r="H41" s="7"/>
      <c r="I41" s="7"/>
      <c r="J41" s="7"/>
      <c r="K41" s="7"/>
      <c r="L41" s="7"/>
      <c r="M41" s="7"/>
      <c r="N41" s="7"/>
      <c r="O41" s="7"/>
      <c r="P41" s="7"/>
      <c r="Q41" s="7"/>
      <c r="R41" s="7"/>
      <c r="S41" s="7"/>
    </row>
    <row r="42" spans="4:19" x14ac:dyDescent="0.35">
      <c r="D42" s="7"/>
      <c r="E42" s="7"/>
      <c r="F42" s="7"/>
      <c r="G42" s="7"/>
      <c r="H42" s="7"/>
      <c r="I42" s="7"/>
      <c r="J42" s="7"/>
      <c r="K42" s="7"/>
      <c r="L42" s="7"/>
      <c r="M42" s="7"/>
      <c r="N42" s="7"/>
      <c r="O42" s="7"/>
      <c r="P42" s="7"/>
      <c r="Q42" s="7"/>
      <c r="R42" s="7"/>
      <c r="S42" s="7"/>
    </row>
    <row r="43" spans="4:19" x14ac:dyDescent="0.35">
      <c r="D43" s="7"/>
      <c r="E43" s="7"/>
      <c r="F43" s="7"/>
      <c r="G43" s="7"/>
      <c r="H43" s="7"/>
      <c r="I43" s="7"/>
      <c r="J43" s="7"/>
      <c r="K43" s="7"/>
      <c r="L43" s="7"/>
      <c r="M43" s="7"/>
      <c r="N43" s="7"/>
      <c r="O43" s="7"/>
      <c r="P43" s="7"/>
      <c r="Q43" s="7"/>
      <c r="R43" s="7"/>
      <c r="S43" s="7"/>
    </row>
    <row r="44" spans="4:19" x14ac:dyDescent="0.35">
      <c r="D44" s="7"/>
      <c r="E44" s="7"/>
      <c r="F44" s="7"/>
      <c r="G44" s="7"/>
      <c r="H44" s="7"/>
      <c r="I44" s="7"/>
      <c r="J44" s="7"/>
      <c r="K44" s="7"/>
      <c r="L44" s="7"/>
      <c r="M44" s="7"/>
      <c r="N44" s="7"/>
      <c r="O44" s="7"/>
      <c r="P44" s="7"/>
      <c r="Q44" s="7"/>
      <c r="R44" s="7"/>
      <c r="S44" s="7"/>
    </row>
    <row r="45" spans="4:19" x14ac:dyDescent="0.35">
      <c r="D45" s="7"/>
      <c r="E45" s="7"/>
      <c r="F45" s="7"/>
      <c r="G45" s="7"/>
      <c r="H45" s="7"/>
      <c r="I45" s="7"/>
      <c r="J45" s="7"/>
      <c r="K45" s="7"/>
      <c r="L45" s="7"/>
      <c r="M45" s="7"/>
      <c r="N45" s="7"/>
      <c r="O45" s="7"/>
      <c r="P45" s="7"/>
      <c r="Q45" s="7"/>
      <c r="R45" s="7"/>
      <c r="S45" s="7"/>
    </row>
    <row r="46" spans="4:19" x14ac:dyDescent="0.35">
      <c r="D46" s="7"/>
      <c r="E46" s="7"/>
      <c r="F46" s="7"/>
      <c r="G46" s="7"/>
      <c r="H46" s="7"/>
      <c r="I46" s="7"/>
      <c r="J46" s="7"/>
      <c r="K46" s="7"/>
      <c r="L46" s="7"/>
      <c r="M46" s="7"/>
      <c r="N46" s="7"/>
      <c r="O46" s="7"/>
      <c r="P46" s="7"/>
      <c r="Q46" s="7"/>
      <c r="R46" s="7"/>
      <c r="S46" s="7"/>
    </row>
    <row r="47" spans="4:19" x14ac:dyDescent="0.35">
      <c r="D47" s="7"/>
      <c r="E47" s="7"/>
      <c r="F47" s="7"/>
      <c r="G47" s="7"/>
      <c r="H47" s="7"/>
      <c r="I47" s="7"/>
      <c r="J47" s="7"/>
      <c r="K47" s="7"/>
      <c r="L47" s="7"/>
      <c r="M47" s="7"/>
      <c r="N47" s="7"/>
      <c r="O47" s="7"/>
      <c r="P47" s="7"/>
      <c r="Q47" s="7"/>
      <c r="R47" s="7"/>
      <c r="S47" s="7"/>
    </row>
    <row r="48" spans="4:19" x14ac:dyDescent="0.35">
      <c r="D48" s="7"/>
      <c r="E48" s="7"/>
      <c r="F48" s="7"/>
      <c r="G48" s="7"/>
      <c r="H48" s="7"/>
      <c r="I48" s="7"/>
      <c r="J48" s="7"/>
      <c r="K48" s="7"/>
      <c r="L48" s="7"/>
      <c r="M48" s="7"/>
      <c r="N48" s="7"/>
      <c r="O48" s="7"/>
      <c r="P48" s="7"/>
      <c r="Q48" s="7"/>
      <c r="R48" s="7"/>
      <c r="S48" s="7"/>
    </row>
    <row r="49" spans="4:19" x14ac:dyDescent="0.35">
      <c r="D49" s="7"/>
      <c r="E49" s="7"/>
      <c r="F49" s="7"/>
      <c r="G49" s="7"/>
      <c r="H49" s="7"/>
      <c r="I49" s="7"/>
      <c r="J49" s="7"/>
      <c r="K49" s="7"/>
      <c r="L49" s="7"/>
      <c r="M49" s="7"/>
      <c r="N49" s="7"/>
      <c r="O49" s="7"/>
      <c r="P49" s="7"/>
      <c r="Q49" s="7"/>
      <c r="R49" s="7"/>
      <c r="S49" s="7"/>
    </row>
    <row r="50" spans="4:19" x14ac:dyDescent="0.35">
      <c r="D50" s="7"/>
      <c r="E50" s="7"/>
      <c r="F50" s="7"/>
      <c r="G50" s="7"/>
      <c r="H50" s="7"/>
      <c r="I50" s="7"/>
      <c r="J50" s="7"/>
      <c r="K50" s="7"/>
      <c r="L50" s="7"/>
      <c r="M50" s="7"/>
      <c r="N50" s="7"/>
      <c r="O50" s="7"/>
      <c r="P50" s="7"/>
      <c r="Q50" s="7"/>
      <c r="R50" s="7"/>
      <c r="S50" s="7"/>
    </row>
    <row r="51" spans="4:19" x14ac:dyDescent="0.35">
      <c r="D51" s="7"/>
      <c r="E51" s="7"/>
      <c r="F51" s="7"/>
      <c r="G51" s="7"/>
      <c r="H51" s="7"/>
      <c r="I51" s="7"/>
      <c r="J51" s="7"/>
      <c r="K51" s="7"/>
      <c r="L51" s="7"/>
      <c r="M51" s="7"/>
      <c r="N51" s="7"/>
      <c r="O51" s="7"/>
      <c r="P51" s="7"/>
      <c r="Q51" s="7"/>
      <c r="R51" s="7"/>
      <c r="S51" s="7"/>
    </row>
    <row r="52" spans="4:19" x14ac:dyDescent="0.35">
      <c r="D52" s="7"/>
      <c r="E52" s="7"/>
      <c r="F52" s="7"/>
      <c r="G52" s="7"/>
      <c r="H52" s="7"/>
      <c r="I52" s="7"/>
      <c r="J52" s="7"/>
      <c r="K52" s="7"/>
      <c r="L52" s="7"/>
      <c r="M52" s="7"/>
      <c r="N52" s="7"/>
      <c r="O52" s="7"/>
      <c r="P52" s="7"/>
      <c r="Q52" s="7"/>
      <c r="R52" s="7"/>
      <c r="S52" s="7"/>
    </row>
    <row r="53" spans="4:19" x14ac:dyDescent="0.35">
      <c r="D53" s="7"/>
      <c r="E53" s="7"/>
      <c r="F53" s="7"/>
      <c r="G53" s="7"/>
      <c r="H53" s="7"/>
      <c r="I53" s="7"/>
      <c r="J53" s="7"/>
      <c r="K53" s="7"/>
      <c r="L53" s="7"/>
      <c r="M53" s="7"/>
      <c r="N53" s="7"/>
      <c r="O53" s="7"/>
      <c r="P53" s="7"/>
      <c r="Q53" s="7"/>
      <c r="R53" s="7"/>
      <c r="S53" s="7"/>
    </row>
    <row r="54" spans="4:19" x14ac:dyDescent="0.35">
      <c r="D54" s="7"/>
      <c r="E54" s="7"/>
      <c r="F54" s="7"/>
      <c r="G54" s="7"/>
      <c r="H54" s="7"/>
      <c r="I54" s="7"/>
      <c r="J54" s="7"/>
      <c r="K54" s="7"/>
      <c r="L54" s="7"/>
      <c r="M54" s="7"/>
      <c r="N54" s="7"/>
      <c r="O54" s="7"/>
      <c r="P54" s="7"/>
      <c r="Q54" s="7"/>
      <c r="R54" s="7"/>
      <c r="S54" s="7"/>
    </row>
    <row r="55" spans="4:19" x14ac:dyDescent="0.35">
      <c r="D55" s="7"/>
      <c r="E55" s="7"/>
      <c r="F55" s="7"/>
      <c r="G55" s="7"/>
      <c r="H55" s="7"/>
      <c r="I55" s="7"/>
      <c r="J55" s="7"/>
      <c r="K55" s="7"/>
      <c r="L55" s="7"/>
      <c r="M55" s="7"/>
      <c r="N55" s="7"/>
      <c r="O55" s="7"/>
      <c r="P55" s="7"/>
      <c r="Q55" s="7"/>
      <c r="R55" s="7"/>
      <c r="S55" s="7"/>
    </row>
    <row r="56" spans="4:19" x14ac:dyDescent="0.35">
      <c r="D56" s="7"/>
      <c r="E56" s="7"/>
      <c r="F56" s="7"/>
      <c r="G56" s="7"/>
      <c r="H56" s="7"/>
      <c r="I56" s="7"/>
      <c r="J56" s="7"/>
      <c r="K56" s="7"/>
      <c r="L56" s="7"/>
      <c r="M56" s="7"/>
      <c r="N56" s="7"/>
      <c r="O56" s="7"/>
      <c r="P56" s="7"/>
      <c r="Q56" s="7"/>
      <c r="R56" s="7"/>
      <c r="S56" s="7"/>
    </row>
    <row r="57" spans="4:19" x14ac:dyDescent="0.35">
      <c r="D57" s="7"/>
      <c r="E57" s="7"/>
      <c r="F57" s="7"/>
      <c r="G57" s="7"/>
      <c r="H57" s="7"/>
      <c r="I57" s="7"/>
      <c r="J57" s="7"/>
      <c r="K57" s="7"/>
      <c r="L57" s="7"/>
      <c r="M57" s="7"/>
      <c r="N57" s="7"/>
      <c r="O57" s="7"/>
      <c r="P57" s="7"/>
      <c r="Q57" s="7"/>
      <c r="R57" s="7"/>
      <c r="S57" s="7"/>
    </row>
    <row r="58" spans="4:19" x14ac:dyDescent="0.35">
      <c r="D58" s="7"/>
      <c r="E58" s="7"/>
      <c r="F58" s="7"/>
      <c r="G58" s="7"/>
      <c r="H58" s="7"/>
      <c r="I58" s="7"/>
      <c r="J58" s="7"/>
      <c r="K58" s="7"/>
      <c r="L58" s="7"/>
      <c r="M58" s="7"/>
      <c r="N58" s="7"/>
      <c r="O58" s="7"/>
      <c r="P58" s="7"/>
      <c r="Q58" s="7"/>
      <c r="R58" s="7"/>
      <c r="S58" s="7"/>
    </row>
    <row r="59" spans="4:19" x14ac:dyDescent="0.35">
      <c r="D59" s="7"/>
      <c r="E59" s="7"/>
      <c r="F59" s="7"/>
      <c r="G59" s="7"/>
      <c r="H59" s="7"/>
      <c r="I59" s="7"/>
      <c r="J59" s="7"/>
      <c r="K59" s="7"/>
      <c r="L59" s="7"/>
      <c r="M59" s="7"/>
      <c r="N59" s="7"/>
      <c r="O59" s="7"/>
      <c r="P59" s="7"/>
      <c r="Q59" s="7"/>
      <c r="R59" s="7"/>
      <c r="S59" s="7"/>
    </row>
    <row r="60" spans="4:19" x14ac:dyDescent="0.35">
      <c r="D60" s="7"/>
      <c r="E60" s="7"/>
      <c r="F60" s="7"/>
      <c r="G60" s="7"/>
      <c r="H60" s="7"/>
      <c r="I60" s="7"/>
      <c r="J60" s="7"/>
      <c r="K60" s="7"/>
      <c r="L60" s="7"/>
      <c r="M60" s="7"/>
      <c r="N60" s="7"/>
      <c r="O60" s="7"/>
      <c r="P60" s="7"/>
      <c r="Q60" s="7"/>
      <c r="R60" s="7"/>
      <c r="S60" s="7"/>
    </row>
    <row r="61" spans="4:19" x14ac:dyDescent="0.35">
      <c r="D61" s="7"/>
      <c r="E61" s="7"/>
      <c r="F61" s="7"/>
      <c r="G61" s="7"/>
      <c r="H61" s="7"/>
      <c r="I61" s="7"/>
      <c r="J61" s="7"/>
      <c r="K61" s="7"/>
      <c r="L61" s="7"/>
      <c r="M61" s="7"/>
      <c r="N61" s="7"/>
      <c r="O61" s="7"/>
      <c r="P61" s="7"/>
      <c r="Q61" s="7"/>
      <c r="R61" s="7"/>
      <c r="S61" s="7"/>
    </row>
    <row r="62" spans="4:19" x14ac:dyDescent="0.35">
      <c r="D62" s="7"/>
      <c r="E62" s="7"/>
      <c r="F62" s="7"/>
      <c r="G62" s="7"/>
      <c r="H62" s="7"/>
      <c r="I62" s="7"/>
      <c r="J62" s="7"/>
      <c r="K62" s="7"/>
      <c r="L62" s="7"/>
      <c r="M62" s="7"/>
      <c r="N62" s="7"/>
      <c r="O62" s="7"/>
      <c r="P62" s="7"/>
      <c r="Q62" s="7"/>
      <c r="R62" s="7"/>
      <c r="S62" s="7"/>
    </row>
    <row r="63" spans="4:19" x14ac:dyDescent="0.35">
      <c r="D63" s="7"/>
      <c r="E63" s="7"/>
      <c r="F63" s="7"/>
      <c r="G63" s="7"/>
      <c r="H63" s="7"/>
      <c r="I63" s="7"/>
      <c r="J63" s="7"/>
      <c r="K63" s="7"/>
      <c r="L63" s="7"/>
      <c r="M63" s="7"/>
      <c r="N63" s="7"/>
      <c r="O63" s="7"/>
      <c r="P63" s="7"/>
      <c r="Q63" s="7"/>
      <c r="R63" s="7"/>
      <c r="S63" s="7"/>
    </row>
    <row r="64" spans="4:19" x14ac:dyDescent="0.35">
      <c r="D64" s="7"/>
      <c r="E64" s="7"/>
      <c r="F64" s="7"/>
      <c r="G64" s="7"/>
      <c r="H64" s="7"/>
      <c r="I64" s="7"/>
      <c r="J64" s="7"/>
      <c r="K64" s="7"/>
      <c r="L64" s="7"/>
      <c r="M64" s="7"/>
      <c r="N64" s="7"/>
      <c r="O64" s="7"/>
      <c r="P64" s="7"/>
      <c r="Q64" s="7"/>
      <c r="R64" s="7"/>
      <c r="S64" s="7"/>
    </row>
    <row r="65" spans="4:19" x14ac:dyDescent="0.35">
      <c r="D65" s="7"/>
      <c r="E65" s="7"/>
      <c r="F65" s="7"/>
      <c r="G65" s="7"/>
      <c r="H65" s="7"/>
      <c r="I65" s="7"/>
      <c r="J65" s="7"/>
      <c r="K65" s="7"/>
      <c r="L65" s="7"/>
      <c r="M65" s="7"/>
      <c r="N65" s="7"/>
      <c r="O65" s="7"/>
      <c r="P65" s="7"/>
      <c r="Q65" s="7"/>
      <c r="R65" s="7"/>
      <c r="S65" s="7"/>
    </row>
    <row r="66" spans="4:19" x14ac:dyDescent="0.35">
      <c r="D66" s="7"/>
      <c r="E66" s="7"/>
      <c r="F66" s="7"/>
      <c r="G66" s="7"/>
      <c r="H66" s="7"/>
      <c r="I66" s="7"/>
      <c r="J66" s="7"/>
      <c r="K66" s="7"/>
      <c r="L66" s="7"/>
      <c r="M66" s="7"/>
      <c r="N66" s="7"/>
      <c r="O66" s="7"/>
      <c r="P66" s="7"/>
      <c r="Q66" s="7"/>
      <c r="R66" s="7"/>
      <c r="S66" s="7"/>
    </row>
    <row r="67" spans="4:19" x14ac:dyDescent="0.35">
      <c r="D67" s="7"/>
      <c r="E67" s="7"/>
      <c r="F67" s="7"/>
      <c r="G67" s="7"/>
      <c r="H67" s="7"/>
      <c r="I67" s="7"/>
      <c r="J67" s="7"/>
      <c r="K67" s="7"/>
      <c r="L67" s="7"/>
      <c r="M67" s="7"/>
      <c r="N67" s="7"/>
      <c r="O67" s="7"/>
      <c r="P67" s="7"/>
      <c r="Q67" s="7"/>
      <c r="R67" s="7"/>
      <c r="S67" s="7"/>
    </row>
    <row r="68" spans="4:19" x14ac:dyDescent="0.35">
      <c r="D68" s="7"/>
      <c r="E68" s="7"/>
      <c r="F68" s="7"/>
      <c r="G68" s="7"/>
      <c r="H68" s="7"/>
      <c r="I68" s="7"/>
      <c r="J68" s="7"/>
      <c r="K68" s="7"/>
      <c r="L68" s="7"/>
      <c r="M68" s="7"/>
      <c r="N68" s="7"/>
      <c r="O68" s="7"/>
      <c r="P68" s="7"/>
      <c r="Q68" s="7"/>
      <c r="R68" s="7"/>
      <c r="S68" s="7"/>
    </row>
    <row r="69" spans="4:19" x14ac:dyDescent="0.35">
      <c r="D69" s="7"/>
      <c r="E69" s="7"/>
      <c r="F69" s="7"/>
      <c r="G69" s="7"/>
      <c r="H69" s="7"/>
      <c r="I69" s="7"/>
      <c r="J69" s="7"/>
      <c r="K69" s="7"/>
      <c r="L69" s="7"/>
      <c r="M69" s="7"/>
      <c r="N69" s="7"/>
      <c r="O69" s="7"/>
      <c r="P69" s="7"/>
      <c r="Q69" s="7"/>
      <c r="R69" s="7"/>
      <c r="S69" s="7"/>
    </row>
    <row r="70" spans="4:19" x14ac:dyDescent="0.35">
      <c r="D70" s="7"/>
      <c r="E70" s="7"/>
      <c r="F70" s="7"/>
      <c r="G70" s="7"/>
      <c r="H70" s="7"/>
      <c r="I70" s="7"/>
      <c r="J70" s="7"/>
      <c r="K70" s="7"/>
      <c r="L70" s="7"/>
      <c r="M70" s="7"/>
      <c r="N70" s="7"/>
      <c r="O70" s="7"/>
      <c r="P70" s="7"/>
      <c r="Q70" s="7"/>
      <c r="R70" s="7"/>
      <c r="S70" s="7"/>
    </row>
    <row r="71" spans="4:19" x14ac:dyDescent="0.35">
      <c r="D71" s="7"/>
      <c r="E71" s="7"/>
      <c r="F71" s="7"/>
      <c r="G71" s="7"/>
      <c r="H71" s="7"/>
      <c r="I71" s="7"/>
      <c r="J71" s="7"/>
      <c r="K71" s="7"/>
      <c r="L71" s="7"/>
      <c r="M71" s="7"/>
      <c r="N71" s="7"/>
      <c r="O71" s="7"/>
      <c r="P71" s="7"/>
      <c r="Q71" s="7"/>
      <c r="R71" s="7"/>
      <c r="S71" s="7"/>
    </row>
    <row r="72" spans="4:19" x14ac:dyDescent="0.35">
      <c r="D72" s="7"/>
      <c r="E72" s="7"/>
      <c r="F72" s="7"/>
      <c r="G72" s="7"/>
      <c r="H72" s="7"/>
      <c r="I72" s="7"/>
      <c r="J72" s="7"/>
      <c r="K72" s="7"/>
      <c r="L72" s="7"/>
      <c r="M72" s="7"/>
      <c r="N72" s="7"/>
      <c r="O72" s="7"/>
      <c r="P72" s="7"/>
      <c r="Q72" s="7"/>
      <c r="R72" s="7"/>
      <c r="S72" s="7"/>
    </row>
    <row r="73" spans="4:19" x14ac:dyDescent="0.35">
      <c r="D73" s="7"/>
      <c r="E73" s="7"/>
      <c r="F73" s="7"/>
      <c r="G73" s="7"/>
      <c r="H73" s="7"/>
      <c r="I73" s="7"/>
      <c r="J73" s="7"/>
      <c r="K73" s="7"/>
      <c r="L73" s="7"/>
      <c r="M73" s="7"/>
      <c r="N73" s="7"/>
      <c r="O73" s="7"/>
      <c r="P73" s="7"/>
      <c r="Q73" s="7"/>
      <c r="R73" s="7"/>
      <c r="S73" s="7"/>
    </row>
    <row r="74" spans="4:19" x14ac:dyDescent="0.35">
      <c r="D74" s="7"/>
      <c r="E74" s="7"/>
      <c r="F74" s="7"/>
      <c r="G74" s="7"/>
      <c r="H74" s="7"/>
      <c r="I74" s="7"/>
      <c r="J74" s="7"/>
      <c r="K74" s="7"/>
      <c r="L74" s="7"/>
      <c r="M74" s="7"/>
      <c r="N74" s="7"/>
      <c r="O74" s="7"/>
      <c r="P74" s="7"/>
      <c r="Q74" s="7"/>
      <c r="R74" s="7"/>
      <c r="S74" s="7"/>
    </row>
    <row r="75" spans="4:19" x14ac:dyDescent="0.35">
      <c r="D75" s="7"/>
      <c r="E75" s="7"/>
      <c r="F75" s="7"/>
      <c r="G75" s="7"/>
      <c r="H75" s="7"/>
      <c r="I75" s="7"/>
      <c r="J75" s="7"/>
      <c r="K75" s="7"/>
      <c r="L75" s="7"/>
      <c r="M75" s="7"/>
      <c r="N75" s="7"/>
      <c r="O75" s="7"/>
      <c r="P75" s="7"/>
      <c r="Q75" s="7"/>
      <c r="R75" s="7"/>
      <c r="S75" s="7"/>
    </row>
    <row r="76" spans="4:19" x14ac:dyDescent="0.35">
      <c r="D76" s="7"/>
      <c r="E76" s="7"/>
      <c r="F76" s="7"/>
      <c r="G76" s="7"/>
      <c r="H76" s="7"/>
      <c r="I76" s="7"/>
      <c r="J76" s="7"/>
      <c r="K76" s="7"/>
      <c r="L76" s="7"/>
      <c r="M76" s="7"/>
      <c r="N76" s="7"/>
      <c r="O76" s="7"/>
      <c r="P76" s="7"/>
      <c r="Q76" s="7"/>
      <c r="R76" s="7"/>
      <c r="S76" s="7"/>
    </row>
    <row r="77" spans="4:19" x14ac:dyDescent="0.35">
      <c r="D77" s="7"/>
      <c r="E77" s="7"/>
      <c r="F77" s="7"/>
      <c r="G77" s="7"/>
      <c r="H77" s="7"/>
      <c r="I77" s="7"/>
      <c r="J77" s="7"/>
      <c r="K77" s="7"/>
      <c r="L77" s="7"/>
      <c r="M77" s="7"/>
      <c r="N77" s="7"/>
      <c r="O77" s="7"/>
      <c r="P77" s="7"/>
      <c r="Q77" s="7"/>
      <c r="R77" s="7"/>
      <c r="S77" s="7"/>
    </row>
    <row r="78" spans="4:19" x14ac:dyDescent="0.35">
      <c r="D78" s="7"/>
      <c r="E78" s="7"/>
      <c r="F78" s="7"/>
      <c r="G78" s="7"/>
      <c r="H78" s="7"/>
      <c r="I78" s="7"/>
      <c r="J78" s="7"/>
      <c r="K78" s="7"/>
      <c r="L78" s="7"/>
      <c r="M78" s="7"/>
      <c r="N78" s="7"/>
      <c r="O78" s="7"/>
      <c r="P78" s="7"/>
      <c r="Q78" s="7"/>
      <c r="R78" s="7"/>
      <c r="S78" s="7"/>
    </row>
    <row r="79" spans="4:19" x14ac:dyDescent="0.35">
      <c r="D79" s="7"/>
      <c r="E79" s="7"/>
      <c r="F79" s="7"/>
      <c r="G79" s="7"/>
      <c r="H79" s="7"/>
      <c r="I79" s="7"/>
      <c r="J79" s="7"/>
      <c r="K79" s="7"/>
      <c r="L79" s="7"/>
      <c r="M79" s="7"/>
      <c r="N79" s="7"/>
      <c r="O79" s="7"/>
      <c r="P79" s="7"/>
      <c r="Q79" s="7"/>
      <c r="R79" s="7"/>
      <c r="S79" s="7"/>
    </row>
    <row r="80" spans="4:19" x14ac:dyDescent="0.35">
      <c r="D80" s="7"/>
      <c r="E80" s="7"/>
      <c r="F80" s="7"/>
      <c r="G80" s="7"/>
      <c r="H80" s="7"/>
      <c r="I80" s="7"/>
      <c r="J80" s="7"/>
      <c r="K80" s="7"/>
      <c r="L80" s="7"/>
      <c r="M80" s="7"/>
      <c r="N80" s="7"/>
      <c r="O80" s="7"/>
      <c r="P80" s="7"/>
      <c r="Q80" s="7"/>
      <c r="R80" s="7"/>
      <c r="S80" s="7"/>
    </row>
    <row r="81" spans="4:19" x14ac:dyDescent="0.35">
      <c r="D81" s="7"/>
      <c r="E81" s="7"/>
      <c r="F81" s="7"/>
      <c r="G81" s="7"/>
      <c r="H81" s="7"/>
      <c r="I81" s="7"/>
      <c r="J81" s="7"/>
      <c r="K81" s="7"/>
      <c r="L81" s="7"/>
      <c r="M81" s="7"/>
      <c r="N81" s="7"/>
      <c r="O81" s="7"/>
      <c r="P81" s="7"/>
      <c r="Q81" s="7"/>
      <c r="R81" s="7"/>
      <c r="S81" s="7"/>
    </row>
    <row r="82" spans="4:19" x14ac:dyDescent="0.35">
      <c r="D82" s="7"/>
      <c r="E82" s="7"/>
      <c r="F82" s="7"/>
      <c r="G82" s="7"/>
      <c r="H82" s="7"/>
      <c r="I82" s="7"/>
      <c r="J82" s="7"/>
      <c r="K82" s="7"/>
      <c r="L82" s="7"/>
      <c r="M82" s="7"/>
      <c r="N82" s="7"/>
      <c r="O82" s="7"/>
      <c r="P82" s="7"/>
      <c r="Q82" s="7"/>
      <c r="R82" s="7"/>
      <c r="S82" s="7"/>
    </row>
    <row r="83" spans="4:19" x14ac:dyDescent="0.35">
      <c r="D83" s="7"/>
      <c r="E83" s="7"/>
      <c r="F83" s="7"/>
      <c r="G83" s="7"/>
      <c r="H83" s="7"/>
      <c r="I83" s="7"/>
      <c r="J83" s="7"/>
      <c r="K83" s="7"/>
      <c r="L83" s="7"/>
      <c r="M83" s="7"/>
      <c r="N83" s="7"/>
      <c r="O83" s="7"/>
      <c r="P83" s="7"/>
      <c r="Q83" s="7"/>
      <c r="R83" s="7"/>
      <c r="S83" s="7"/>
    </row>
    <row r="84" spans="4:19" x14ac:dyDescent="0.35">
      <c r="D84" s="7"/>
      <c r="E84" s="7"/>
      <c r="F84" s="7"/>
      <c r="G84" s="7"/>
      <c r="H84" s="7"/>
      <c r="I84" s="7"/>
      <c r="J84" s="7"/>
      <c r="K84" s="7"/>
      <c r="L84" s="7"/>
      <c r="M84" s="7"/>
      <c r="N84" s="7"/>
      <c r="O84" s="7"/>
      <c r="P84" s="7"/>
      <c r="Q84" s="7"/>
      <c r="R84" s="7"/>
      <c r="S84" s="7"/>
    </row>
    <row r="85" spans="4:19" x14ac:dyDescent="0.35">
      <c r="D85" s="7"/>
      <c r="E85" s="7"/>
      <c r="F85" s="7"/>
      <c r="G85" s="7"/>
      <c r="H85" s="7"/>
      <c r="I85" s="7"/>
      <c r="J85" s="7"/>
      <c r="K85" s="7"/>
      <c r="L85" s="7"/>
      <c r="M85" s="7"/>
      <c r="N85" s="7"/>
      <c r="O85" s="7"/>
      <c r="P85" s="7"/>
      <c r="Q85" s="7"/>
      <c r="R85" s="7"/>
      <c r="S85" s="7"/>
    </row>
    <row r="86" spans="4:19" x14ac:dyDescent="0.35">
      <c r="D86" s="7"/>
      <c r="E86" s="7"/>
      <c r="F86" s="7"/>
      <c r="G86" s="7"/>
      <c r="H86" s="7"/>
      <c r="I86" s="7"/>
      <c r="J86" s="7"/>
      <c r="K86" s="7"/>
      <c r="L86" s="7"/>
      <c r="M86" s="7"/>
      <c r="N86" s="7"/>
      <c r="O86" s="7"/>
      <c r="P86" s="7"/>
      <c r="Q86" s="7"/>
      <c r="R86" s="7"/>
      <c r="S86" s="7"/>
    </row>
    <row r="87" spans="4:19" x14ac:dyDescent="0.35">
      <c r="D87" s="7"/>
      <c r="E87" s="7"/>
      <c r="F87" s="7"/>
      <c r="G87" s="7"/>
      <c r="H87" s="7"/>
      <c r="I87" s="7"/>
      <c r="J87" s="7"/>
      <c r="K87" s="7"/>
      <c r="L87" s="7"/>
      <c r="M87" s="7"/>
      <c r="N87" s="7"/>
      <c r="O87" s="7"/>
      <c r="P87" s="7"/>
      <c r="Q87" s="7"/>
      <c r="R87" s="7"/>
      <c r="S87" s="7"/>
    </row>
    <row r="88" spans="4:19" x14ac:dyDescent="0.35">
      <c r="D88" s="7"/>
      <c r="E88" s="7"/>
      <c r="F88" s="7"/>
      <c r="G88" s="7"/>
      <c r="H88" s="7"/>
      <c r="I88" s="7"/>
      <c r="J88" s="7"/>
      <c r="K88" s="7"/>
      <c r="L88" s="7"/>
      <c r="M88" s="7"/>
      <c r="N88" s="7"/>
      <c r="O88" s="7"/>
      <c r="P88" s="7"/>
      <c r="Q88" s="7"/>
      <c r="R88" s="7"/>
      <c r="S88" s="7"/>
    </row>
    <row r="89" spans="4:19" x14ac:dyDescent="0.35">
      <c r="D89" s="7"/>
      <c r="E89" s="7"/>
      <c r="F89" s="7"/>
      <c r="G89" s="7"/>
      <c r="H89" s="7"/>
      <c r="I89" s="7"/>
      <c r="J89" s="7"/>
      <c r="K89" s="7"/>
      <c r="L89" s="7"/>
      <c r="M89" s="7"/>
      <c r="N89" s="7"/>
      <c r="O89" s="7"/>
      <c r="P89" s="7"/>
      <c r="Q89" s="7"/>
      <c r="R89" s="7"/>
      <c r="S89" s="7"/>
    </row>
    <row r="90" spans="4:19" x14ac:dyDescent="0.35">
      <c r="D90" s="7"/>
      <c r="E90" s="7"/>
      <c r="F90" s="7"/>
      <c r="G90" s="7"/>
      <c r="H90" s="7"/>
      <c r="I90" s="7"/>
      <c r="J90" s="7"/>
      <c r="K90" s="7"/>
      <c r="L90" s="7"/>
      <c r="M90" s="7"/>
      <c r="N90" s="7"/>
      <c r="O90" s="7"/>
      <c r="P90" s="7"/>
      <c r="Q90" s="7"/>
      <c r="R90" s="7"/>
      <c r="S90" s="7"/>
    </row>
    <row r="91" spans="4:19" x14ac:dyDescent="0.35">
      <c r="D91" s="7"/>
      <c r="E91" s="7"/>
      <c r="F91" s="7"/>
      <c r="G91" s="7"/>
      <c r="H91" s="7"/>
      <c r="I91" s="7"/>
      <c r="J91" s="7"/>
      <c r="K91" s="7"/>
      <c r="L91" s="7"/>
      <c r="M91" s="7"/>
      <c r="N91" s="7"/>
      <c r="O91" s="7"/>
      <c r="P91" s="7"/>
      <c r="Q91" s="7"/>
      <c r="R91" s="7"/>
      <c r="S91" s="7"/>
    </row>
    <row r="92" spans="4:19" x14ac:dyDescent="0.35">
      <c r="D92" s="7"/>
      <c r="E92" s="7"/>
      <c r="F92" s="7"/>
      <c r="G92" s="7"/>
      <c r="H92" s="7"/>
      <c r="I92" s="7"/>
      <c r="J92" s="7"/>
      <c r="K92" s="7"/>
      <c r="L92" s="7"/>
      <c r="M92" s="7"/>
      <c r="N92" s="7"/>
      <c r="O92" s="7"/>
      <c r="P92" s="7"/>
      <c r="Q92" s="7"/>
      <c r="R92" s="7"/>
      <c r="S92" s="7"/>
    </row>
    <row r="93" spans="4:19" x14ac:dyDescent="0.35">
      <c r="D93" s="7"/>
      <c r="E93" s="7"/>
      <c r="F93" s="7"/>
      <c r="G93" s="7"/>
      <c r="H93" s="7"/>
      <c r="I93" s="7"/>
      <c r="J93" s="7"/>
      <c r="K93" s="7"/>
      <c r="L93" s="7"/>
      <c r="M93" s="7"/>
      <c r="N93" s="7"/>
      <c r="O93" s="7"/>
      <c r="P93" s="7"/>
      <c r="Q93" s="7"/>
      <c r="R93" s="7"/>
      <c r="S93" s="7"/>
    </row>
    <row r="94" spans="4:19" x14ac:dyDescent="0.35">
      <c r="D94" s="7"/>
      <c r="E94" s="7"/>
      <c r="F94" s="7"/>
      <c r="G94" s="7"/>
      <c r="H94" s="7"/>
      <c r="I94" s="7"/>
      <c r="J94" s="7"/>
      <c r="K94" s="7"/>
      <c r="L94" s="7"/>
      <c r="M94" s="7"/>
      <c r="N94" s="7"/>
      <c r="O94" s="7"/>
      <c r="P94" s="7"/>
      <c r="Q94" s="7"/>
      <c r="R94" s="7"/>
      <c r="S94" s="7"/>
    </row>
    <row r="95" spans="4:19" x14ac:dyDescent="0.35">
      <c r="D95" s="7"/>
      <c r="E95" s="7"/>
      <c r="F95" s="7"/>
      <c r="G95" s="7"/>
      <c r="H95" s="7"/>
      <c r="I95" s="7"/>
      <c r="J95" s="7"/>
      <c r="K95" s="7"/>
      <c r="L95" s="7"/>
      <c r="M95" s="7"/>
      <c r="N95" s="7"/>
      <c r="O95" s="7"/>
      <c r="P95" s="7"/>
      <c r="Q95" s="7"/>
      <c r="R95" s="7"/>
      <c r="S95" s="7"/>
    </row>
    <row r="96" spans="4:19" x14ac:dyDescent="0.35">
      <c r="D96" s="7"/>
      <c r="E96" s="7"/>
      <c r="F96" s="7"/>
      <c r="G96" s="7"/>
      <c r="H96" s="7"/>
      <c r="I96" s="7"/>
      <c r="J96" s="7"/>
      <c r="K96" s="7"/>
      <c r="L96" s="7"/>
      <c r="M96" s="7"/>
      <c r="N96" s="7"/>
      <c r="O96" s="7"/>
      <c r="P96" s="7"/>
      <c r="Q96" s="7"/>
      <c r="R96" s="7"/>
      <c r="S96" s="7"/>
    </row>
    <row r="97" spans="4:19" x14ac:dyDescent="0.35">
      <c r="D97" s="7"/>
      <c r="E97" s="7"/>
      <c r="F97" s="7"/>
      <c r="G97" s="7"/>
      <c r="H97" s="7"/>
      <c r="I97" s="7"/>
      <c r="J97" s="7"/>
      <c r="K97" s="7"/>
      <c r="L97" s="7"/>
      <c r="M97" s="7"/>
      <c r="N97" s="7"/>
      <c r="O97" s="7"/>
      <c r="P97" s="7"/>
      <c r="Q97" s="7"/>
      <c r="R97" s="7"/>
      <c r="S97" s="7"/>
    </row>
    <row r="98" spans="4:19" x14ac:dyDescent="0.35">
      <c r="D98" s="7"/>
      <c r="E98" s="7"/>
      <c r="F98" s="7"/>
      <c r="G98" s="7"/>
      <c r="H98" s="7"/>
      <c r="I98" s="7"/>
      <c r="J98" s="7"/>
      <c r="K98" s="7"/>
      <c r="L98" s="7"/>
      <c r="M98" s="7"/>
      <c r="N98" s="7"/>
      <c r="O98" s="7"/>
      <c r="P98" s="7"/>
      <c r="Q98" s="7"/>
      <c r="R98" s="7"/>
      <c r="S98" s="7"/>
    </row>
    <row r="99" spans="4:19" x14ac:dyDescent="0.35">
      <c r="D99" s="7"/>
      <c r="E99" s="7"/>
      <c r="F99" s="7"/>
      <c r="G99" s="7"/>
      <c r="H99" s="7"/>
      <c r="I99" s="7"/>
      <c r="J99" s="7"/>
      <c r="K99" s="7"/>
      <c r="L99" s="7"/>
      <c r="M99" s="7"/>
      <c r="N99" s="7"/>
      <c r="O99" s="7"/>
      <c r="P99" s="7"/>
      <c r="Q99" s="7"/>
      <c r="R99" s="7"/>
      <c r="S99" s="7"/>
    </row>
    <row r="100" spans="4:19" x14ac:dyDescent="0.35">
      <c r="D100" s="8"/>
      <c r="E100" s="8"/>
      <c r="F100" s="8"/>
      <c r="G100" s="8"/>
      <c r="H100" s="8"/>
      <c r="I100" s="8"/>
      <c r="J100" s="8"/>
      <c r="K100" s="8"/>
      <c r="L100" s="8"/>
      <c r="M100" s="8"/>
      <c r="N100" s="8"/>
      <c r="O100" s="8"/>
      <c r="P100" s="8"/>
      <c r="Q100" s="8"/>
      <c r="R100" s="8"/>
      <c r="S100" s="8"/>
    </row>
    <row r="101" spans="4:19" x14ac:dyDescent="0.35">
      <c r="D101" s="8"/>
      <c r="E101" s="8"/>
      <c r="F101" s="8"/>
      <c r="G101" s="8"/>
      <c r="H101" s="8"/>
      <c r="I101" s="8"/>
      <c r="J101" s="8"/>
      <c r="K101" s="8"/>
      <c r="L101" s="8"/>
      <c r="M101" s="8"/>
      <c r="N101" s="8"/>
      <c r="O101" s="8"/>
      <c r="P101" s="8"/>
      <c r="Q101" s="8"/>
      <c r="R101" s="8"/>
      <c r="S101" s="8"/>
    </row>
    <row r="102" spans="4:19" x14ac:dyDescent="0.35">
      <c r="D102" s="8"/>
      <c r="E102" s="8"/>
      <c r="F102" s="8"/>
      <c r="G102" s="8"/>
      <c r="H102" s="8"/>
      <c r="I102" s="8"/>
      <c r="J102" s="8"/>
      <c r="K102" s="8"/>
      <c r="L102" s="8"/>
      <c r="M102" s="8"/>
      <c r="N102" s="8"/>
      <c r="O102" s="8"/>
      <c r="P102" s="8"/>
      <c r="Q102" s="8"/>
      <c r="R102" s="8"/>
      <c r="S102" s="8"/>
    </row>
    <row r="103" spans="4:19" x14ac:dyDescent="0.35">
      <c r="D103" s="8"/>
      <c r="E103" s="8"/>
      <c r="F103" s="8"/>
      <c r="G103" s="8"/>
      <c r="H103" s="8"/>
      <c r="I103" s="8"/>
      <c r="J103" s="8"/>
      <c r="K103" s="8"/>
      <c r="L103" s="8"/>
      <c r="M103" s="8"/>
      <c r="N103" s="8"/>
      <c r="O103" s="8"/>
      <c r="P103" s="8"/>
      <c r="Q103" s="8"/>
      <c r="R103" s="8"/>
      <c r="S103" s="8"/>
    </row>
    <row r="104" spans="4:19" x14ac:dyDescent="0.35">
      <c r="D104" s="8"/>
      <c r="E104" s="8"/>
      <c r="F104" s="8"/>
      <c r="G104" s="8"/>
      <c r="H104" s="8"/>
      <c r="I104" s="8"/>
      <c r="J104" s="8"/>
      <c r="K104" s="8"/>
      <c r="L104" s="8"/>
      <c r="M104" s="8"/>
      <c r="N104" s="8"/>
      <c r="O104" s="8"/>
      <c r="P104" s="8"/>
      <c r="Q104" s="8"/>
      <c r="R104" s="8"/>
      <c r="S104" s="8"/>
    </row>
    <row r="105" spans="4:19" x14ac:dyDescent="0.35">
      <c r="D105" s="8"/>
      <c r="E105" s="8"/>
      <c r="F105" s="8"/>
      <c r="G105" s="8"/>
      <c r="H105" s="8"/>
      <c r="I105" s="8"/>
      <c r="J105" s="8"/>
      <c r="K105" s="8"/>
      <c r="L105" s="8"/>
      <c r="M105" s="8"/>
      <c r="N105" s="8"/>
      <c r="O105" s="8"/>
      <c r="P105" s="8"/>
      <c r="Q105" s="8"/>
      <c r="R105" s="8"/>
      <c r="S105" s="8"/>
    </row>
    <row r="106" spans="4:19" x14ac:dyDescent="0.35">
      <c r="D106" s="8"/>
      <c r="E106" s="8"/>
      <c r="F106" s="8"/>
      <c r="G106" s="8"/>
      <c r="H106" s="8"/>
      <c r="I106" s="8"/>
      <c r="J106" s="8"/>
      <c r="K106" s="8"/>
      <c r="L106" s="8"/>
      <c r="M106" s="8"/>
      <c r="N106" s="8"/>
      <c r="O106" s="8"/>
      <c r="P106" s="8"/>
      <c r="Q106" s="8"/>
      <c r="R106" s="8"/>
      <c r="S106" s="8"/>
    </row>
    <row r="107" spans="4:19" x14ac:dyDescent="0.35">
      <c r="D107" s="8"/>
      <c r="E107" s="8"/>
      <c r="F107" s="8"/>
      <c r="G107" s="8"/>
      <c r="H107" s="8"/>
      <c r="I107" s="8"/>
      <c r="J107" s="8"/>
      <c r="K107" s="8"/>
      <c r="L107" s="8"/>
      <c r="M107" s="8"/>
      <c r="N107" s="8"/>
      <c r="O107" s="8"/>
      <c r="P107" s="8"/>
      <c r="Q107" s="8"/>
      <c r="R107" s="8"/>
      <c r="S107" s="8"/>
    </row>
    <row r="108" spans="4:19" x14ac:dyDescent="0.35">
      <c r="D108" s="8"/>
      <c r="E108" s="8"/>
      <c r="F108" s="8"/>
      <c r="G108" s="8"/>
      <c r="H108" s="8"/>
      <c r="I108" s="8"/>
      <c r="J108" s="8"/>
      <c r="K108" s="8"/>
      <c r="L108" s="8"/>
      <c r="M108" s="8"/>
      <c r="N108" s="8"/>
      <c r="O108" s="8"/>
      <c r="P108" s="8"/>
      <c r="Q108" s="8"/>
      <c r="R108" s="8"/>
      <c r="S108" s="8"/>
    </row>
    <row r="109" spans="4:19" x14ac:dyDescent="0.35">
      <c r="D109" s="8"/>
      <c r="E109" s="8"/>
      <c r="F109" s="8"/>
      <c r="G109" s="8"/>
      <c r="H109" s="8"/>
      <c r="I109" s="8"/>
      <c r="J109" s="8"/>
      <c r="K109" s="8"/>
      <c r="L109" s="8"/>
      <c r="M109" s="8"/>
      <c r="N109" s="8"/>
      <c r="O109" s="8"/>
      <c r="P109" s="8"/>
      <c r="Q109" s="8"/>
      <c r="R109" s="8"/>
      <c r="S109" s="8"/>
    </row>
    <row r="110" spans="4:19" x14ac:dyDescent="0.35">
      <c r="D110" s="8"/>
      <c r="E110" s="8"/>
      <c r="F110" s="8"/>
      <c r="G110" s="8"/>
      <c r="H110" s="8"/>
      <c r="I110" s="8"/>
      <c r="J110" s="8"/>
      <c r="K110" s="8"/>
      <c r="L110" s="8"/>
      <c r="M110" s="8"/>
      <c r="N110" s="8"/>
      <c r="O110" s="8"/>
      <c r="P110" s="8"/>
      <c r="Q110" s="8"/>
      <c r="R110" s="8"/>
      <c r="S110" s="8"/>
    </row>
    <row r="111" spans="4:19" x14ac:dyDescent="0.35">
      <c r="D111" s="8"/>
      <c r="E111" s="8"/>
      <c r="F111" s="8"/>
      <c r="G111" s="8"/>
      <c r="H111" s="8"/>
      <c r="I111" s="8"/>
      <c r="J111" s="8"/>
      <c r="K111" s="8"/>
      <c r="L111" s="8"/>
      <c r="M111" s="8"/>
      <c r="N111" s="8"/>
      <c r="O111" s="8"/>
      <c r="P111" s="8"/>
      <c r="Q111" s="8"/>
      <c r="R111" s="8"/>
      <c r="S111" s="8"/>
    </row>
    <row r="112" spans="4:19" x14ac:dyDescent="0.35">
      <c r="D112" s="8"/>
      <c r="E112" s="8"/>
      <c r="F112" s="8"/>
      <c r="G112" s="8"/>
      <c r="H112" s="8"/>
      <c r="I112" s="8"/>
      <c r="J112" s="8"/>
      <c r="K112" s="8"/>
      <c r="L112" s="8"/>
      <c r="M112" s="8"/>
      <c r="N112" s="8"/>
      <c r="O112" s="8"/>
      <c r="P112" s="8"/>
      <c r="Q112" s="8"/>
      <c r="R112" s="8"/>
      <c r="S112" s="8"/>
    </row>
    <row r="113" spans="4:19" x14ac:dyDescent="0.35">
      <c r="D113" s="8"/>
      <c r="E113" s="8"/>
      <c r="F113" s="8"/>
      <c r="G113" s="8"/>
      <c r="H113" s="8"/>
      <c r="I113" s="8"/>
      <c r="J113" s="8"/>
      <c r="K113" s="8"/>
      <c r="L113" s="8"/>
      <c r="M113" s="8"/>
      <c r="N113" s="8"/>
      <c r="O113" s="8"/>
      <c r="P113" s="8"/>
      <c r="Q113" s="8"/>
      <c r="R113" s="8"/>
      <c r="S113" s="8"/>
    </row>
    <row r="114" spans="4:19" x14ac:dyDescent="0.35">
      <c r="D114" s="8"/>
      <c r="E114" s="8"/>
      <c r="F114" s="8"/>
      <c r="G114" s="8"/>
      <c r="H114" s="8"/>
      <c r="I114" s="8"/>
      <c r="J114" s="8"/>
      <c r="K114" s="8"/>
      <c r="L114" s="8"/>
      <c r="M114" s="8"/>
      <c r="N114" s="8"/>
      <c r="O114" s="8"/>
      <c r="P114" s="8"/>
      <c r="Q114" s="8"/>
      <c r="R114" s="8"/>
      <c r="S114" s="8"/>
    </row>
    <row r="115" spans="4:19" x14ac:dyDescent="0.35">
      <c r="D115" s="8"/>
      <c r="E115" s="8"/>
      <c r="F115" s="8"/>
      <c r="G115" s="8"/>
      <c r="H115" s="8"/>
      <c r="I115" s="8"/>
      <c r="J115" s="8"/>
      <c r="K115" s="8"/>
      <c r="L115" s="8"/>
      <c r="M115" s="8"/>
      <c r="N115" s="8"/>
      <c r="O115" s="8"/>
      <c r="P115" s="8"/>
      <c r="Q115" s="8"/>
      <c r="R115" s="8"/>
      <c r="S115" s="8"/>
    </row>
    <row r="116" spans="4:19" x14ac:dyDescent="0.35">
      <c r="D116" s="8"/>
      <c r="E116" s="8"/>
      <c r="F116" s="8"/>
      <c r="G116" s="8"/>
      <c r="H116" s="8"/>
      <c r="I116" s="8"/>
      <c r="J116" s="8"/>
      <c r="K116" s="8"/>
      <c r="L116" s="8"/>
      <c r="M116" s="8"/>
      <c r="N116" s="8"/>
      <c r="O116" s="8"/>
      <c r="P116" s="8"/>
      <c r="Q116" s="8"/>
      <c r="R116" s="8"/>
      <c r="S116" s="8"/>
    </row>
    <row r="117" spans="4:19" x14ac:dyDescent="0.35">
      <c r="D117" s="8"/>
      <c r="E117" s="8"/>
      <c r="F117" s="8"/>
      <c r="G117" s="8"/>
      <c r="H117" s="8"/>
      <c r="I117" s="8"/>
      <c r="J117" s="8"/>
      <c r="K117" s="8"/>
      <c r="L117" s="8"/>
      <c r="M117" s="8"/>
      <c r="N117" s="8"/>
      <c r="O117" s="8"/>
      <c r="P117" s="8"/>
      <c r="Q117" s="8"/>
      <c r="R117" s="8"/>
      <c r="S117" s="8"/>
    </row>
    <row r="118" spans="4:19" x14ac:dyDescent="0.35">
      <c r="D118" s="8"/>
      <c r="E118" s="8"/>
      <c r="F118" s="8"/>
      <c r="G118" s="8"/>
      <c r="H118" s="8"/>
      <c r="I118" s="8"/>
      <c r="J118" s="8"/>
      <c r="K118" s="8"/>
      <c r="L118" s="8"/>
      <c r="M118" s="8"/>
      <c r="N118" s="8"/>
      <c r="O118" s="8"/>
      <c r="P118" s="8"/>
      <c r="Q118" s="8"/>
      <c r="R118" s="8"/>
      <c r="S118" s="8"/>
    </row>
    <row r="119" spans="4:19" x14ac:dyDescent="0.35">
      <c r="D119" s="8"/>
      <c r="E119" s="8"/>
      <c r="F119" s="8"/>
      <c r="G119" s="8"/>
      <c r="H119" s="8"/>
      <c r="I119" s="8"/>
      <c r="J119" s="8"/>
      <c r="K119" s="8"/>
      <c r="L119" s="8"/>
      <c r="M119" s="8"/>
      <c r="N119" s="8"/>
      <c r="O119" s="8"/>
      <c r="P119" s="8"/>
      <c r="Q119" s="8"/>
      <c r="R119" s="8"/>
      <c r="S119" s="8"/>
    </row>
    <row r="120" spans="4:19" x14ac:dyDescent="0.35">
      <c r="D120" s="8"/>
      <c r="E120" s="8"/>
      <c r="F120" s="8"/>
      <c r="G120" s="8"/>
      <c r="H120" s="8"/>
      <c r="I120" s="8"/>
      <c r="J120" s="8"/>
      <c r="K120" s="8"/>
      <c r="L120" s="8"/>
      <c r="M120" s="8"/>
      <c r="N120" s="8"/>
      <c r="O120" s="8"/>
      <c r="P120" s="8"/>
      <c r="Q120" s="8"/>
      <c r="R120" s="8"/>
      <c r="S120" s="8"/>
    </row>
    <row r="121" spans="4:19" x14ac:dyDescent="0.35">
      <c r="D121" s="8"/>
      <c r="E121" s="8"/>
      <c r="F121" s="8"/>
      <c r="G121" s="8"/>
      <c r="H121" s="8"/>
      <c r="I121" s="8"/>
      <c r="J121" s="8"/>
      <c r="K121" s="8"/>
      <c r="L121" s="8"/>
      <c r="M121" s="8"/>
      <c r="N121" s="8"/>
      <c r="O121" s="8"/>
      <c r="P121" s="8"/>
      <c r="Q121" s="8"/>
      <c r="R121" s="8"/>
      <c r="S121" s="8"/>
    </row>
    <row r="122" spans="4:19" x14ac:dyDescent="0.35">
      <c r="D122" s="8"/>
      <c r="E122" s="8"/>
      <c r="F122" s="8"/>
      <c r="G122" s="8"/>
      <c r="H122" s="8"/>
      <c r="I122" s="8"/>
      <c r="J122" s="8"/>
      <c r="K122" s="8"/>
      <c r="L122" s="8"/>
      <c r="M122" s="8"/>
      <c r="N122" s="8"/>
      <c r="O122" s="8"/>
      <c r="P122" s="8"/>
      <c r="Q122" s="8"/>
      <c r="R122" s="8"/>
      <c r="S122" s="8"/>
    </row>
    <row r="123" spans="4:19" x14ac:dyDescent="0.35">
      <c r="D123" s="8"/>
      <c r="E123" s="8"/>
      <c r="F123" s="8"/>
      <c r="G123" s="8"/>
      <c r="H123" s="8"/>
      <c r="I123" s="8"/>
      <c r="J123" s="8"/>
      <c r="K123" s="8"/>
      <c r="L123" s="8"/>
      <c r="M123" s="8"/>
      <c r="N123" s="8"/>
      <c r="O123" s="8"/>
      <c r="P123" s="8"/>
      <c r="Q123" s="8"/>
      <c r="R123" s="8"/>
      <c r="S123" s="8"/>
    </row>
    <row r="124" spans="4:19" x14ac:dyDescent="0.35">
      <c r="D124" s="8"/>
      <c r="E124" s="8"/>
      <c r="F124" s="8"/>
      <c r="G124" s="8"/>
      <c r="H124" s="8"/>
      <c r="I124" s="8"/>
      <c r="J124" s="8"/>
      <c r="K124" s="8"/>
      <c r="L124" s="8"/>
      <c r="M124" s="8"/>
      <c r="N124" s="8"/>
      <c r="O124" s="8"/>
      <c r="P124" s="8"/>
      <c r="Q124" s="8"/>
      <c r="R124" s="8"/>
      <c r="S124" s="8"/>
    </row>
    <row r="125" spans="4:19" x14ac:dyDescent="0.35">
      <c r="D125" s="8"/>
      <c r="E125" s="8"/>
      <c r="F125" s="8"/>
      <c r="G125" s="8"/>
      <c r="H125" s="8"/>
      <c r="I125" s="8"/>
      <c r="J125" s="8"/>
      <c r="K125" s="8"/>
      <c r="L125" s="8"/>
      <c r="M125" s="8"/>
      <c r="N125" s="8"/>
      <c r="O125" s="8"/>
      <c r="P125" s="8"/>
      <c r="Q125" s="8"/>
      <c r="R125" s="8"/>
      <c r="S125" s="8"/>
    </row>
    <row r="126" spans="4:19" x14ac:dyDescent="0.35">
      <c r="D126" s="8"/>
      <c r="E126" s="8"/>
      <c r="F126" s="8"/>
      <c r="G126" s="8"/>
      <c r="H126" s="8"/>
      <c r="I126" s="8"/>
      <c r="J126" s="8"/>
      <c r="K126" s="8"/>
      <c r="L126" s="8"/>
      <c r="M126" s="8"/>
      <c r="N126" s="8"/>
      <c r="O126" s="8"/>
      <c r="P126" s="8"/>
      <c r="Q126" s="8"/>
      <c r="R126" s="8"/>
      <c r="S126" s="8"/>
    </row>
    <row r="127" spans="4:19" x14ac:dyDescent="0.35">
      <c r="D127" s="8"/>
      <c r="E127" s="8"/>
      <c r="F127" s="8"/>
      <c r="G127" s="8"/>
      <c r="H127" s="8"/>
      <c r="I127" s="8"/>
      <c r="J127" s="8"/>
      <c r="K127" s="8"/>
      <c r="L127" s="8"/>
      <c r="M127" s="8"/>
      <c r="N127" s="8"/>
      <c r="O127" s="8"/>
      <c r="P127" s="8"/>
      <c r="Q127" s="8"/>
      <c r="R127" s="8"/>
      <c r="S127" s="8"/>
    </row>
    <row r="128" spans="4:19" x14ac:dyDescent="0.35">
      <c r="D128" s="8"/>
      <c r="E128" s="8"/>
      <c r="F128" s="8"/>
      <c r="G128" s="8"/>
      <c r="H128" s="8"/>
      <c r="I128" s="8"/>
      <c r="J128" s="8"/>
      <c r="K128" s="8"/>
      <c r="L128" s="8"/>
      <c r="M128" s="8"/>
      <c r="N128" s="8"/>
      <c r="O128" s="8"/>
      <c r="P128" s="8"/>
      <c r="Q128" s="8"/>
      <c r="R128" s="8"/>
      <c r="S128" s="8"/>
    </row>
    <row r="129" spans="4:19" x14ac:dyDescent="0.35">
      <c r="D129" s="8"/>
      <c r="E129" s="8"/>
      <c r="F129" s="8"/>
      <c r="G129" s="8"/>
      <c r="H129" s="8"/>
      <c r="I129" s="8"/>
      <c r="J129" s="8"/>
      <c r="K129" s="8"/>
      <c r="L129" s="8"/>
      <c r="M129" s="8"/>
      <c r="N129" s="8"/>
      <c r="O129" s="8"/>
      <c r="P129" s="8"/>
      <c r="Q129" s="8"/>
      <c r="R129" s="8"/>
      <c r="S129" s="8"/>
    </row>
    <row r="130" spans="4:19" x14ac:dyDescent="0.35">
      <c r="D130" s="8"/>
      <c r="E130" s="8"/>
      <c r="F130" s="8"/>
      <c r="G130" s="8"/>
      <c r="H130" s="8"/>
      <c r="I130" s="8"/>
      <c r="J130" s="8"/>
      <c r="K130" s="8"/>
      <c r="L130" s="8"/>
      <c r="M130" s="8"/>
      <c r="N130" s="8"/>
      <c r="O130" s="8"/>
      <c r="P130" s="8"/>
      <c r="Q130" s="8"/>
      <c r="R130" s="8"/>
      <c r="S130" s="8"/>
    </row>
    <row r="131" spans="4:19" x14ac:dyDescent="0.35">
      <c r="D131" s="8"/>
      <c r="E131" s="8"/>
      <c r="F131" s="8"/>
      <c r="G131" s="8"/>
      <c r="H131" s="8"/>
      <c r="I131" s="8"/>
      <c r="J131" s="8"/>
      <c r="K131" s="8"/>
      <c r="L131" s="8"/>
      <c r="M131" s="8"/>
      <c r="N131" s="8"/>
      <c r="O131" s="8"/>
      <c r="P131" s="8"/>
      <c r="Q131" s="8"/>
      <c r="R131" s="8"/>
      <c r="S131" s="8"/>
    </row>
    <row r="132" spans="4:19" x14ac:dyDescent="0.35">
      <c r="D132" s="8"/>
      <c r="E132" s="8"/>
      <c r="F132" s="8"/>
      <c r="G132" s="8"/>
      <c r="H132" s="8"/>
      <c r="I132" s="8"/>
      <c r="J132" s="8"/>
      <c r="K132" s="8"/>
      <c r="L132" s="8"/>
      <c r="M132" s="8"/>
      <c r="N132" s="8"/>
      <c r="O132" s="8"/>
      <c r="P132" s="8"/>
      <c r="Q132" s="8"/>
      <c r="R132" s="8"/>
      <c r="S132" s="8"/>
    </row>
    <row r="133" spans="4:19" x14ac:dyDescent="0.35">
      <c r="D133" s="8"/>
      <c r="E133" s="8"/>
      <c r="F133" s="8"/>
      <c r="G133" s="8"/>
      <c r="H133" s="8"/>
      <c r="I133" s="8"/>
      <c r="J133" s="8"/>
      <c r="K133" s="8"/>
      <c r="L133" s="8"/>
      <c r="M133" s="8"/>
      <c r="N133" s="8"/>
      <c r="O133" s="8"/>
      <c r="P133" s="8"/>
      <c r="Q133" s="8"/>
      <c r="R133" s="8"/>
      <c r="S133" s="8"/>
    </row>
    <row r="134" spans="4:19" x14ac:dyDescent="0.35">
      <c r="D134" s="8"/>
      <c r="E134" s="8"/>
      <c r="F134" s="8"/>
      <c r="G134" s="8"/>
      <c r="H134" s="8"/>
      <c r="I134" s="8"/>
      <c r="J134" s="8"/>
      <c r="K134" s="8"/>
      <c r="L134" s="8"/>
      <c r="M134" s="8"/>
      <c r="N134" s="8"/>
      <c r="O134" s="8"/>
      <c r="P134" s="8"/>
      <c r="Q134" s="8"/>
      <c r="R134" s="8"/>
      <c r="S134" s="8"/>
    </row>
    <row r="135" spans="4:19" x14ac:dyDescent="0.35">
      <c r="D135" s="8"/>
      <c r="E135" s="8"/>
      <c r="F135" s="8"/>
      <c r="G135" s="8"/>
      <c r="H135" s="8"/>
      <c r="I135" s="8"/>
      <c r="J135" s="8"/>
      <c r="K135" s="8"/>
      <c r="L135" s="8"/>
      <c r="M135" s="8"/>
      <c r="N135" s="8"/>
      <c r="O135" s="8"/>
      <c r="P135" s="8"/>
      <c r="Q135" s="8"/>
      <c r="R135" s="8"/>
      <c r="S135" s="8"/>
    </row>
    <row r="136" spans="4:19" x14ac:dyDescent="0.35">
      <c r="D136" s="8"/>
      <c r="E136" s="8"/>
      <c r="F136" s="8"/>
      <c r="G136" s="8"/>
      <c r="H136" s="8"/>
      <c r="I136" s="8"/>
      <c r="J136" s="8"/>
      <c r="K136" s="8"/>
      <c r="L136" s="8"/>
      <c r="M136" s="8"/>
      <c r="N136" s="8"/>
      <c r="O136" s="8"/>
      <c r="P136" s="8"/>
      <c r="Q136" s="8"/>
      <c r="R136" s="8"/>
      <c r="S136" s="8"/>
    </row>
    <row r="137" spans="4:19" x14ac:dyDescent="0.35">
      <c r="D137" s="8"/>
      <c r="E137" s="8"/>
      <c r="F137" s="8"/>
      <c r="G137" s="8"/>
      <c r="H137" s="8"/>
      <c r="I137" s="8"/>
      <c r="J137" s="8"/>
      <c r="K137" s="8"/>
      <c r="L137" s="8"/>
      <c r="M137" s="8"/>
      <c r="N137" s="8"/>
      <c r="O137" s="8"/>
      <c r="P137" s="8"/>
      <c r="Q137" s="8"/>
      <c r="R137" s="8"/>
      <c r="S137" s="8"/>
    </row>
    <row r="138" spans="4:19" x14ac:dyDescent="0.35">
      <c r="D138" s="8"/>
      <c r="E138" s="8"/>
      <c r="F138" s="8"/>
      <c r="G138" s="8"/>
      <c r="H138" s="8"/>
      <c r="I138" s="8"/>
      <c r="J138" s="8"/>
      <c r="K138" s="8"/>
      <c r="L138" s="8"/>
      <c r="M138" s="8"/>
      <c r="N138" s="8"/>
      <c r="O138" s="8"/>
      <c r="P138" s="8"/>
      <c r="Q138" s="8"/>
      <c r="R138" s="8"/>
      <c r="S138" s="8"/>
    </row>
    <row r="139" spans="4:19" x14ac:dyDescent="0.35">
      <c r="D139" s="8"/>
      <c r="E139" s="8"/>
      <c r="F139" s="8"/>
      <c r="G139" s="8"/>
      <c r="H139" s="8"/>
      <c r="I139" s="8"/>
      <c r="J139" s="8"/>
      <c r="K139" s="8"/>
      <c r="L139" s="8"/>
      <c r="M139" s="8"/>
      <c r="N139" s="8"/>
      <c r="O139" s="8"/>
      <c r="P139" s="8"/>
      <c r="Q139" s="8"/>
      <c r="R139" s="8"/>
      <c r="S139" s="8"/>
    </row>
    <row r="140" spans="4:19" x14ac:dyDescent="0.35">
      <c r="D140" s="8"/>
      <c r="E140" s="8"/>
      <c r="F140" s="8"/>
      <c r="G140" s="8"/>
      <c r="H140" s="8"/>
      <c r="I140" s="8"/>
      <c r="J140" s="8"/>
      <c r="K140" s="8"/>
      <c r="L140" s="8"/>
      <c r="M140" s="8"/>
      <c r="N140" s="8"/>
      <c r="O140" s="8"/>
      <c r="P140" s="8"/>
      <c r="Q140" s="8"/>
      <c r="R140" s="8"/>
      <c r="S140" s="8"/>
    </row>
    <row r="141" spans="4:19" x14ac:dyDescent="0.35">
      <c r="D141" s="8"/>
      <c r="E141" s="8"/>
      <c r="F141" s="8"/>
      <c r="G141" s="8"/>
      <c r="H141" s="8"/>
      <c r="I141" s="8"/>
      <c r="J141" s="8"/>
      <c r="K141" s="8"/>
      <c r="L141" s="8"/>
      <c r="M141" s="8"/>
      <c r="N141" s="8"/>
      <c r="O141" s="8"/>
      <c r="P141" s="8"/>
      <c r="Q141" s="8"/>
      <c r="R141" s="8"/>
      <c r="S141" s="8"/>
    </row>
    <row r="142" spans="4:19" x14ac:dyDescent="0.35">
      <c r="D142" s="8"/>
      <c r="E142" s="8"/>
      <c r="F142" s="8"/>
      <c r="G142" s="8"/>
      <c r="H142" s="8"/>
      <c r="I142" s="8"/>
      <c r="J142" s="8"/>
      <c r="K142" s="8"/>
      <c r="L142" s="8"/>
      <c r="M142" s="8"/>
      <c r="N142" s="8"/>
      <c r="O142" s="8"/>
      <c r="P142" s="8"/>
      <c r="Q142" s="8"/>
      <c r="R142" s="8"/>
      <c r="S142" s="8"/>
    </row>
    <row r="143" spans="4:19" x14ac:dyDescent="0.35">
      <c r="D143" s="8"/>
      <c r="E143" s="8"/>
      <c r="F143" s="8"/>
      <c r="G143" s="8"/>
      <c r="H143" s="8"/>
      <c r="I143" s="8"/>
      <c r="J143" s="8"/>
      <c r="K143" s="8"/>
      <c r="L143" s="8"/>
      <c r="M143" s="8"/>
      <c r="N143" s="8"/>
      <c r="O143" s="8"/>
      <c r="P143" s="8"/>
      <c r="Q143" s="8"/>
      <c r="R143" s="8"/>
      <c r="S143" s="8"/>
    </row>
    <row r="144" spans="4:19" x14ac:dyDescent="0.35">
      <c r="D144" s="8"/>
      <c r="E144" s="8"/>
      <c r="F144" s="8"/>
      <c r="G144" s="8"/>
      <c r="H144" s="8"/>
      <c r="I144" s="8"/>
      <c r="J144" s="8"/>
      <c r="K144" s="8"/>
      <c r="L144" s="8"/>
      <c r="M144" s="8"/>
      <c r="N144" s="8"/>
      <c r="O144" s="8"/>
      <c r="P144" s="8"/>
      <c r="Q144" s="8"/>
      <c r="R144" s="8"/>
      <c r="S144"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YASHIII</dc:creator>
  <cp:lastModifiedBy>Yashi Jain</cp:lastModifiedBy>
  <dcterms:created xsi:type="dcterms:W3CDTF">2026-05-06T11:13:36Z</dcterms:created>
  <dcterms:modified xsi:type="dcterms:W3CDTF">2026-05-28T11:44:58Z</dcterms:modified>
</cp:coreProperties>
</file>